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ant\01_SwProj\04_VectorBT\02_Lima\Lima_Gen1\01_Database\02_Hshares\"/>
    </mc:Choice>
  </mc:AlternateContent>
  <xr:revisionPtr revIDLastSave="0" documentId="13_ncr:1_{A7FD8E89-4EA7-404A-8FD2-C4849E60BCEB}" xr6:coauthVersionLast="47" xr6:coauthVersionMax="47" xr10:uidLastSave="{00000000-0000-0000-0000-000000000000}"/>
  <bookViews>
    <workbookView xWindow="30744" yWindow="3072" windowWidth="23016" windowHeight="12216" xr2:uid="{4BCB2E99-F95C-4A90-9AF4-80119B08F319}"/>
  </bookViews>
  <sheets>
    <sheet name="港股主板更新20250618" sheetId="1" r:id="rId1"/>
  </sheets>
  <calcPr calcId="191029"/>
</workbook>
</file>

<file path=xl/calcChain.xml><?xml version="1.0" encoding="utf-8"?>
<calcChain xmlns="http://schemas.openxmlformats.org/spreadsheetml/2006/main">
  <c r="A2216" i="1" l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<sst xmlns="http://schemas.openxmlformats.org/spreadsheetml/2006/main" count="4433" uniqueCount="2249">
  <si>
    <t>代码</t>
  </si>
  <si>
    <t>细分行业</t>
  </si>
  <si>
    <t>脑动极光－Ｂ</t>
  </si>
  <si>
    <t>先瑞达医疗－Ｂ</t>
  </si>
  <si>
    <t>心玮医疗－Ｂ</t>
  </si>
  <si>
    <t>现代牙科</t>
  </si>
  <si>
    <t>美丽田园医疗健康</t>
  </si>
  <si>
    <t>微泰医疗－Ｂ</t>
  </si>
  <si>
    <t>朝聚眼科</t>
  </si>
  <si>
    <t>归创通桥</t>
  </si>
  <si>
    <t>业聚医疗</t>
  </si>
  <si>
    <t>昊海生物科技</t>
  </si>
  <si>
    <t>时代天使</t>
  </si>
  <si>
    <t>海吉亚医疗</t>
  </si>
  <si>
    <t>希玛医疗</t>
  </si>
  <si>
    <t>环球医疗</t>
  </si>
  <si>
    <t>健康之路</t>
  </si>
  <si>
    <t>一脉阳光</t>
  </si>
  <si>
    <t>讯飞医疗科技</t>
  </si>
  <si>
    <t>启明医疗－Ｂ</t>
  </si>
  <si>
    <t>心泰医疗</t>
  </si>
  <si>
    <t>固生堂</t>
  </si>
  <si>
    <t>微创机器人－Ｂ</t>
  </si>
  <si>
    <t>医脉通</t>
  </si>
  <si>
    <t>微创脑科学</t>
  </si>
  <si>
    <t>药品及生科</t>
  </si>
  <si>
    <t>金嗓子</t>
  </si>
  <si>
    <t>中国抗体－Ｂ</t>
  </si>
  <si>
    <t>复宏汉霖</t>
  </si>
  <si>
    <t>派格生物医药－Ｂ</t>
  </si>
  <si>
    <t>华领医药－Ｂ</t>
  </si>
  <si>
    <t>荃信生物－Ｂ</t>
  </si>
  <si>
    <t>百奥赛图－Ｂ</t>
  </si>
  <si>
    <t>和誉－Ｂ</t>
  </si>
  <si>
    <t>健倍苗苗</t>
  </si>
  <si>
    <t>德琪医药－Ｂ</t>
  </si>
  <si>
    <t>博安生物</t>
  </si>
  <si>
    <t>凯莱英</t>
  </si>
  <si>
    <t>京东健康</t>
  </si>
  <si>
    <t>康希诺生物</t>
  </si>
  <si>
    <t>百济神州</t>
  </si>
  <si>
    <t>昭衍新药</t>
  </si>
  <si>
    <t>方舟健客</t>
  </si>
  <si>
    <t>联邦制药</t>
  </si>
  <si>
    <t>康龙化成</t>
  </si>
  <si>
    <t>翰森制药</t>
  </si>
  <si>
    <t>同仁堂国药</t>
  </si>
  <si>
    <t>泰格医药</t>
  </si>
  <si>
    <t>华润医药</t>
  </si>
  <si>
    <t>神威药业</t>
  </si>
  <si>
    <t>基石药业－Ｂ</t>
  </si>
  <si>
    <t>上海医药</t>
  </si>
  <si>
    <t>科笛－Ｂ</t>
  </si>
  <si>
    <t>同源康医药－Ｂ</t>
  </si>
  <si>
    <t>巨子生物</t>
  </si>
  <si>
    <t>药明康德</t>
  </si>
  <si>
    <t>药明生物</t>
  </si>
  <si>
    <t>药明合联</t>
  </si>
  <si>
    <t>晶泰控股</t>
  </si>
  <si>
    <t>复星医药</t>
  </si>
  <si>
    <t>绿叶制药</t>
  </si>
  <si>
    <t>科济药业－Ｂ</t>
  </si>
  <si>
    <t>康诺亚－Ｂ</t>
  </si>
  <si>
    <t>主要零售商</t>
  </si>
  <si>
    <t>江苏宏信</t>
  </si>
  <si>
    <t>高鑫零售</t>
  </si>
  <si>
    <t>农业产品</t>
  </si>
  <si>
    <t>德康农牧</t>
  </si>
  <si>
    <t>食物饮品</t>
  </si>
  <si>
    <t>沪上阿姨</t>
  </si>
  <si>
    <t>珍酒李渡</t>
  </si>
  <si>
    <t>巨星传奇</t>
  </si>
  <si>
    <t>中国飞鹤</t>
  </si>
  <si>
    <t>中烟香港</t>
  </si>
  <si>
    <t>茶百道</t>
  </si>
  <si>
    <t>锅圈</t>
  </si>
  <si>
    <t>华润饮料</t>
  </si>
  <si>
    <t>友宝在线</t>
  </si>
  <si>
    <t>百果园集团</t>
  </si>
  <si>
    <t>蒙牛乳业</t>
  </si>
  <si>
    <t>安德利果汁</t>
  </si>
  <si>
    <t>专业零售</t>
  </si>
  <si>
    <t>喆丽控股</t>
  </si>
  <si>
    <t>京东集团－ＳＷ</t>
  </si>
  <si>
    <t>滔搏</t>
  </si>
  <si>
    <t>和谐汽车</t>
  </si>
  <si>
    <t>美团－Ｗ</t>
  </si>
  <si>
    <t>永达汽车</t>
  </si>
  <si>
    <t>吉宏股份</t>
  </si>
  <si>
    <t>支援服务</t>
  </si>
  <si>
    <t>卓越教育集团</t>
  </si>
  <si>
    <t>读书郎</t>
  </si>
  <si>
    <t>今海医疗科技</t>
  </si>
  <si>
    <t>中国通才教育</t>
  </si>
  <si>
    <t>同道猎聘</t>
  </si>
  <si>
    <t>粉笔</t>
  </si>
  <si>
    <t>汽车街</t>
  </si>
  <si>
    <t>媒体及娱乐</t>
  </si>
  <si>
    <t>普乐师集团控股</t>
  </si>
  <si>
    <t>乐华娱乐</t>
  </si>
  <si>
    <t>宜搜科技</t>
  </si>
  <si>
    <t>旅游及消闲</t>
  </si>
  <si>
    <t>绿茶集团</t>
  </si>
  <si>
    <t>嘀嗒出行</t>
  </si>
  <si>
    <t>百乐皇宫</t>
  </si>
  <si>
    <t>大象未来集团</t>
  </si>
  <si>
    <t>海底捞</t>
  </si>
  <si>
    <t>金界控股</t>
  </si>
  <si>
    <t>KEEP</t>
  </si>
  <si>
    <t>中银航空租赁</t>
  </si>
  <si>
    <t>美高梅中国</t>
  </si>
  <si>
    <t>海昌海洋公园</t>
  </si>
  <si>
    <t>纺织服饰</t>
  </si>
  <si>
    <t>老铺黄金</t>
  </si>
  <si>
    <t>波司登</t>
  </si>
  <si>
    <t>赢家时尚</t>
  </si>
  <si>
    <t>江南布衣</t>
  </si>
  <si>
    <t>李宁</t>
  </si>
  <si>
    <t>申洲国际</t>
  </si>
  <si>
    <t>晶苑国际</t>
  </si>
  <si>
    <t>家电及用品</t>
  </si>
  <si>
    <t>卡罗特</t>
  </si>
  <si>
    <t>蓝月亮集团</t>
  </si>
  <si>
    <t>思摩尔国际</t>
  </si>
  <si>
    <t>海尔智家</t>
  </si>
  <si>
    <t>朝云集团</t>
  </si>
  <si>
    <t>泉峰控股</t>
  </si>
  <si>
    <t>汽车</t>
  </si>
  <si>
    <t>元征科技</t>
  </si>
  <si>
    <t>喜相逢集团</t>
  </si>
  <si>
    <t>绿源集团控股</t>
  </si>
  <si>
    <t>福耀玻璃</t>
  </si>
  <si>
    <t>长城汽车</t>
  </si>
  <si>
    <t>广汽集团</t>
  </si>
  <si>
    <t>综合企业</t>
  </si>
  <si>
    <t>半导体</t>
  </si>
  <si>
    <t>英诺赛科</t>
  </si>
  <si>
    <t>软件服务</t>
  </si>
  <si>
    <t>加幂科技</t>
  </si>
  <si>
    <t>捷利交易宝</t>
  </si>
  <si>
    <t>百融云－Ｗ</t>
  </si>
  <si>
    <t>瑞和数智</t>
  </si>
  <si>
    <t>声通科技</t>
  </si>
  <si>
    <t>中国通号</t>
  </si>
  <si>
    <t>金山云</t>
  </si>
  <si>
    <t>金山软件</t>
  </si>
  <si>
    <t>阜博集团</t>
  </si>
  <si>
    <t>多点数智</t>
  </si>
  <si>
    <t>迈富时</t>
  </si>
  <si>
    <t>黑芝麻智能</t>
  </si>
  <si>
    <t>速腾聚创</t>
  </si>
  <si>
    <t>越疆</t>
  </si>
  <si>
    <t>佑驾创新</t>
  </si>
  <si>
    <t>心动公司</t>
  </si>
  <si>
    <t>资讯科技</t>
  </si>
  <si>
    <t>长虹佳华</t>
  </si>
  <si>
    <t>亨利加集团</t>
  </si>
  <si>
    <t>巨腾国际</t>
  </si>
  <si>
    <t>长飞光纤光缆</t>
  </si>
  <si>
    <t>联想控股</t>
  </si>
  <si>
    <t>京信通信</t>
  </si>
  <si>
    <t>中国建筑国际</t>
  </si>
  <si>
    <t>建筑</t>
  </si>
  <si>
    <t>地产</t>
  </si>
  <si>
    <t>碧桂园服务</t>
  </si>
  <si>
    <t>保利物业</t>
  </si>
  <si>
    <t>绿城中国</t>
  </si>
  <si>
    <t>中海物业</t>
  </si>
  <si>
    <t>万物云</t>
  </si>
  <si>
    <t>贝壳－Ｗ</t>
  </si>
  <si>
    <t>胜利证券</t>
  </si>
  <si>
    <t>其他金融</t>
  </si>
  <si>
    <t>丰银禾控股</t>
  </si>
  <si>
    <t>浩森金融科技</t>
  </si>
  <si>
    <t>连连数字</t>
  </si>
  <si>
    <t>中国银河</t>
  </si>
  <si>
    <t>申万宏源</t>
  </si>
  <si>
    <t>光大证券</t>
  </si>
  <si>
    <t>招商证券</t>
  </si>
  <si>
    <t>盛业</t>
  </si>
  <si>
    <t>中信建投证券</t>
  </si>
  <si>
    <t>中信证券</t>
  </si>
  <si>
    <t>东方证券</t>
  </si>
  <si>
    <t>弘业期货</t>
  </si>
  <si>
    <t>远东宏信</t>
  </si>
  <si>
    <t>易鑫集团</t>
  </si>
  <si>
    <t>中信金融资产</t>
  </si>
  <si>
    <t>国泰海通</t>
  </si>
  <si>
    <t>保险</t>
  </si>
  <si>
    <t>阳光保险</t>
  </si>
  <si>
    <t>众安在线</t>
  </si>
  <si>
    <t>中国人寿</t>
  </si>
  <si>
    <t>中国太保</t>
  </si>
  <si>
    <t>保诚</t>
  </si>
  <si>
    <t>中国财险</t>
  </si>
  <si>
    <t>中国平安</t>
  </si>
  <si>
    <t>银行</t>
  </si>
  <si>
    <t>中国光大银行</t>
  </si>
  <si>
    <t>郑州银行</t>
  </si>
  <si>
    <t>中国银行</t>
  </si>
  <si>
    <t>招商银行</t>
  </si>
  <si>
    <t>青岛银行</t>
  </si>
  <si>
    <t>徽商银行</t>
  </si>
  <si>
    <t>重庆农村商业银行</t>
  </si>
  <si>
    <t>交通银行</t>
  </si>
  <si>
    <t>渣打集团</t>
  </si>
  <si>
    <t>中银香港</t>
  </si>
  <si>
    <t>大新银行集团</t>
  </si>
  <si>
    <t>公用事业</t>
  </si>
  <si>
    <t>港灯－ＳＳ</t>
  </si>
  <si>
    <t>信义能源</t>
  </si>
  <si>
    <t>中裕能源</t>
  </si>
  <si>
    <t>新奥能源</t>
  </si>
  <si>
    <t>中国电力</t>
  </si>
  <si>
    <t>香港电讯－ＳＳ</t>
  </si>
  <si>
    <t>电讯</t>
  </si>
  <si>
    <t>经纬天地</t>
  </si>
  <si>
    <t>工用支援</t>
  </si>
  <si>
    <t>德银天下</t>
  </si>
  <si>
    <t>京东物流</t>
  </si>
  <si>
    <t>工用运输</t>
  </si>
  <si>
    <t>泛远国际</t>
  </si>
  <si>
    <t>乐舱物流</t>
  </si>
  <si>
    <t>顺丰控股</t>
  </si>
  <si>
    <t>青岛港</t>
  </si>
  <si>
    <t>中国船舶租赁</t>
  </si>
  <si>
    <t>天津港发展</t>
  </si>
  <si>
    <t>秦港股份</t>
  </si>
  <si>
    <t>辽港股份</t>
  </si>
  <si>
    <t>中远海发</t>
  </si>
  <si>
    <t>德翔海运</t>
  </si>
  <si>
    <t>太平洋航运</t>
  </si>
  <si>
    <t>沧港铁路</t>
  </si>
  <si>
    <t>工业工程</t>
  </si>
  <si>
    <t>正力新能</t>
  </si>
  <si>
    <t>重庆机电</t>
  </si>
  <si>
    <t>晶科电子股份</t>
  </si>
  <si>
    <t>东江集团控股</t>
  </si>
  <si>
    <t>康耐特光学</t>
  </si>
  <si>
    <t>福莱特玻璃</t>
  </si>
  <si>
    <t>中国能源建设</t>
  </si>
  <si>
    <t>中创新航</t>
  </si>
  <si>
    <t>时代电气</t>
  </si>
  <si>
    <t>中国重汽</t>
  </si>
  <si>
    <t>宁德时代</t>
  </si>
  <si>
    <t>威胜控股</t>
  </si>
  <si>
    <t>中国龙工</t>
  </si>
  <si>
    <t>钧达股份</t>
  </si>
  <si>
    <t>上海电气</t>
  </si>
  <si>
    <t>国富氢能</t>
  </si>
  <si>
    <t>西锐</t>
  </si>
  <si>
    <t>龙蟠科技</t>
  </si>
  <si>
    <t>亿华通</t>
  </si>
  <si>
    <t>舜宇光学科技</t>
  </si>
  <si>
    <t>中航科工</t>
  </si>
  <si>
    <t>潍柴动力</t>
  </si>
  <si>
    <t>金风科技</t>
  </si>
  <si>
    <t>原材料</t>
  </si>
  <si>
    <t>中海石油化学</t>
  </si>
  <si>
    <t>中国三江化工</t>
  </si>
  <si>
    <t>环球新材国际</t>
  </si>
  <si>
    <t>玖龙纸业</t>
  </si>
  <si>
    <t>理文造纸</t>
  </si>
  <si>
    <t>新疆新鑫矿业</t>
  </si>
  <si>
    <t>一般金属</t>
  </si>
  <si>
    <t>南山铝业国际</t>
  </si>
  <si>
    <t>中核国际</t>
  </si>
  <si>
    <t>力勤资源</t>
  </si>
  <si>
    <t>金力永磁</t>
  </si>
  <si>
    <t>洛阳钼业</t>
  </si>
  <si>
    <t>万国黄金集团</t>
  </si>
  <si>
    <t>中国铝业</t>
  </si>
  <si>
    <t>黄金贵金属</t>
  </si>
  <si>
    <t>灵宝黄金</t>
  </si>
  <si>
    <t>赤峰黄金</t>
  </si>
  <si>
    <t>紫金矿业</t>
  </si>
  <si>
    <t>安东油田服务</t>
  </si>
  <si>
    <t>石油天然气</t>
  </si>
  <si>
    <t>中集安瑞科</t>
  </si>
  <si>
    <t>中海油田服务</t>
  </si>
  <si>
    <t>中石化炼化工程</t>
  </si>
  <si>
    <t>名称</t>
    <phoneticPr fontId="18" type="noConversion"/>
  </si>
  <si>
    <t>长和</t>
  </si>
  <si>
    <t>中电控股</t>
  </si>
  <si>
    <t>香港中华煤气</t>
  </si>
  <si>
    <t>汇丰控股</t>
  </si>
  <si>
    <t>电能实业</t>
  </si>
  <si>
    <t>电讯盈科</t>
  </si>
  <si>
    <t>恒隆集团</t>
  </si>
  <si>
    <t>恒基地产</t>
  </si>
  <si>
    <t>和黄医药</t>
  </si>
  <si>
    <t>新鸿基地产</t>
  </si>
  <si>
    <t>太古股份公司Ａ</t>
  </si>
  <si>
    <t>商汤－Ｗ</t>
  </si>
  <si>
    <t>东亚银行</t>
  </si>
  <si>
    <t>银河娱乐</t>
  </si>
  <si>
    <t>第一拖拉机股份</t>
  </si>
  <si>
    <t>载通</t>
  </si>
  <si>
    <t>港铁公司</t>
  </si>
  <si>
    <t>香格里拉（亚洲）</t>
  </si>
  <si>
    <t>REGAL INT'L</t>
  </si>
  <si>
    <t>中国海外宏洋集团</t>
  </si>
  <si>
    <t>信和置业</t>
  </si>
  <si>
    <t>中电华大科技</t>
  </si>
  <si>
    <t>新鸿基公司</t>
  </si>
  <si>
    <t>太古股份公司Ｂ</t>
  </si>
  <si>
    <t>恒隆地产</t>
  </si>
  <si>
    <t>四川成渝高速公路</t>
  </si>
  <si>
    <t>周生生</t>
  </si>
  <si>
    <t>越秀地产</t>
  </si>
  <si>
    <t>昆仑能源</t>
  </si>
  <si>
    <t>中国儒意</t>
  </si>
  <si>
    <t>第一太平</t>
  </si>
  <si>
    <t>招商局港口</t>
  </si>
  <si>
    <t>建滔集团</t>
  </si>
  <si>
    <t>中国旺旺</t>
  </si>
  <si>
    <t>深圳国际</t>
  </si>
  <si>
    <t>中国光大控股</t>
  </si>
  <si>
    <t>青岛啤酒股份</t>
  </si>
  <si>
    <t>吉利汽车</t>
  </si>
  <si>
    <t>江苏宁沪高速公路</t>
  </si>
  <si>
    <t>莎莎国际</t>
  </si>
  <si>
    <t>德昌电机控股</t>
  </si>
  <si>
    <t>东岳集团</t>
  </si>
  <si>
    <t>新濠国际发展</t>
  </si>
  <si>
    <t>和记电讯香港</t>
  </si>
  <si>
    <t>申万宏源香港</t>
  </si>
  <si>
    <t>统一企业中国</t>
  </si>
  <si>
    <t>阿里健康</t>
  </si>
  <si>
    <t>光大环境</t>
  </si>
  <si>
    <t>亿都（国际控股）</t>
  </si>
  <si>
    <t>中信股份</t>
  </si>
  <si>
    <t>金蝶国际</t>
  </si>
  <si>
    <t>粤海投资</t>
  </si>
  <si>
    <t>比亚迪电子</t>
  </si>
  <si>
    <t>万洲国际</t>
  </si>
  <si>
    <t>国富量子</t>
  </si>
  <si>
    <t>华润啤酒</t>
  </si>
  <si>
    <t>国泰航空</t>
  </si>
  <si>
    <t>中化化肥</t>
  </si>
  <si>
    <t>美的集团</t>
  </si>
  <si>
    <t>VTECH HOLDINGS</t>
  </si>
  <si>
    <t>香港中旅</t>
  </si>
  <si>
    <t>数码通电讯</t>
  </si>
  <si>
    <t>东方海外国际</t>
  </si>
  <si>
    <t>中船防务</t>
  </si>
  <si>
    <t>德永佳集团</t>
  </si>
  <si>
    <t>康师傅控股</t>
  </si>
  <si>
    <t>马鞍山钢铁股份</t>
  </si>
  <si>
    <t>中国星集团</t>
  </si>
  <si>
    <t>百富环球</t>
  </si>
  <si>
    <t>华宝国际</t>
  </si>
  <si>
    <t>上海石油化工股份</t>
  </si>
  <si>
    <t>潼关黄金</t>
  </si>
  <si>
    <t>大家乐集团</t>
  </si>
  <si>
    <t>VITASOY INT'L</t>
  </si>
  <si>
    <t>鞍钢股份</t>
  </si>
  <si>
    <t>中国软件国际</t>
  </si>
  <si>
    <t>美兰空港</t>
  </si>
  <si>
    <t>江西铜业股份</t>
  </si>
  <si>
    <t>上海实业控股</t>
  </si>
  <si>
    <t>港仔机器人</t>
  </si>
  <si>
    <t>北控水务集团</t>
  </si>
  <si>
    <t>云锋金融</t>
  </si>
  <si>
    <t>中汇集团</t>
  </si>
  <si>
    <t>中国燃气</t>
  </si>
  <si>
    <t>中国石油化工股份</t>
  </si>
  <si>
    <t>香港交易所</t>
  </si>
  <si>
    <t>中国中铁</t>
  </si>
  <si>
    <t>北京控股</t>
  </si>
  <si>
    <t>东方表行集团</t>
  </si>
  <si>
    <t>硬蛋创新</t>
  </si>
  <si>
    <t>山高控股</t>
  </si>
  <si>
    <t>敏实集团</t>
  </si>
  <si>
    <t>博雅互动</t>
  </si>
  <si>
    <t>大新金融</t>
  </si>
  <si>
    <t>四环医药</t>
  </si>
  <si>
    <t>联合能源集团</t>
  </si>
  <si>
    <t>俄铝</t>
  </si>
  <si>
    <t>中国食品</t>
  </si>
  <si>
    <t>远大医药</t>
  </si>
  <si>
    <t>中远海运国际</t>
  </si>
  <si>
    <t>呷哺呷哺</t>
  </si>
  <si>
    <t>ASMPT</t>
  </si>
  <si>
    <t>广深铁路股份</t>
  </si>
  <si>
    <t>阜丰集团</t>
  </si>
  <si>
    <t>深圳高速公路股份</t>
  </si>
  <si>
    <t>裕元集团</t>
  </si>
  <si>
    <t>中国通信服务</t>
  </si>
  <si>
    <t>南京熊猫电子股份</t>
  </si>
  <si>
    <t>力劲科技</t>
  </si>
  <si>
    <t>山东墨龙</t>
  </si>
  <si>
    <t>中国中药</t>
  </si>
  <si>
    <t>浙江沪杭甬</t>
  </si>
  <si>
    <t>京能清洁能源</t>
  </si>
  <si>
    <t>赛晶科技</t>
  </si>
  <si>
    <t>中国东方集团</t>
  </si>
  <si>
    <t>海螺创业</t>
  </si>
  <si>
    <t>海螺环保</t>
  </si>
  <si>
    <t>六福集团</t>
  </si>
  <si>
    <t>浪潮数字企业</t>
  </si>
  <si>
    <t>中国外运</t>
  </si>
  <si>
    <t>三一国际</t>
  </si>
  <si>
    <t>KLN</t>
  </si>
  <si>
    <t>复星国际</t>
  </si>
  <si>
    <t>周大福创建</t>
  </si>
  <si>
    <t>瑞浦兰钧</t>
  </si>
  <si>
    <t>中国东方教育</t>
  </si>
  <si>
    <t>创科实业</t>
  </si>
  <si>
    <t>中国东方航空股份</t>
  </si>
  <si>
    <t>嘉里建设</t>
  </si>
  <si>
    <t>中国海外发展</t>
  </si>
  <si>
    <t>北京首都机场股份</t>
  </si>
  <si>
    <t>中国民航信息网络</t>
  </si>
  <si>
    <t>首程控股</t>
  </si>
  <si>
    <t>腾讯控股</t>
  </si>
  <si>
    <t>佐丹奴国际</t>
  </si>
  <si>
    <t>京东方精电</t>
  </si>
  <si>
    <t>胜狮货柜</t>
  </si>
  <si>
    <t>山东新华制药股份</t>
  </si>
  <si>
    <t>中国电信</t>
  </si>
  <si>
    <t>信利国际</t>
  </si>
  <si>
    <t>理文化工</t>
  </si>
  <si>
    <t>创维集团</t>
  </si>
  <si>
    <t>PICO FAR EAST</t>
  </si>
  <si>
    <t>中国国航</t>
  </si>
  <si>
    <t>中国联通</t>
  </si>
  <si>
    <t>中兴通讯</t>
  </si>
  <si>
    <t>阅文集团</t>
  </si>
  <si>
    <t>长江生命科技</t>
  </si>
  <si>
    <t>网龙</t>
  </si>
  <si>
    <t>同程旅行</t>
  </si>
  <si>
    <t>中国铁塔</t>
  </si>
  <si>
    <t>IGG</t>
  </si>
  <si>
    <t>惠理集团</t>
  </si>
  <si>
    <t>新华文轩</t>
  </si>
  <si>
    <t>中国白银集团</t>
  </si>
  <si>
    <t>中国金茂</t>
  </si>
  <si>
    <t>天能动力</t>
  </si>
  <si>
    <t>天工国际</t>
  </si>
  <si>
    <t>华润电力</t>
  </si>
  <si>
    <t>亿和控股</t>
  </si>
  <si>
    <t>中教控股</t>
  </si>
  <si>
    <t>理士国际</t>
  </si>
  <si>
    <t>微创医疗</t>
  </si>
  <si>
    <t>中国水务</t>
  </si>
  <si>
    <t>伟仕佳杰</t>
  </si>
  <si>
    <t>中国石油股份</t>
  </si>
  <si>
    <t>神州控股</t>
  </si>
  <si>
    <t>ＯＳＬ集团</t>
  </si>
  <si>
    <t>康哲药业</t>
  </si>
  <si>
    <t>信义玻璃</t>
  </si>
  <si>
    <t>白云山</t>
  </si>
  <si>
    <t>澳博控股</t>
  </si>
  <si>
    <t>中升控股</t>
  </si>
  <si>
    <t>中国海洋石油</t>
  </si>
  <si>
    <t>华能国际电力股份</t>
  </si>
  <si>
    <t>胡桃资本</t>
  </si>
  <si>
    <t>明源云</t>
  </si>
  <si>
    <t>海螺水泥</t>
  </si>
  <si>
    <t>龙源电力</t>
  </si>
  <si>
    <t>海信家电</t>
  </si>
  <si>
    <t>中石化冠德</t>
  </si>
  <si>
    <t>建设银行</t>
  </si>
  <si>
    <t>中国移动</t>
  </si>
  <si>
    <t>宏利金融－Ｓ</t>
  </si>
  <si>
    <t>超威动力</t>
  </si>
  <si>
    <t>新天绿色能源</t>
  </si>
  <si>
    <t>龙湖集团</t>
  </si>
  <si>
    <t>中国太平</t>
  </si>
  <si>
    <t>信义光能</t>
  </si>
  <si>
    <t>中芯国际</t>
  </si>
  <si>
    <t>大唐发电</t>
  </si>
  <si>
    <t>联想集团</t>
  </si>
  <si>
    <t>安徽皖通高速公路</t>
  </si>
  <si>
    <t>中信银行</t>
  </si>
  <si>
    <t>小菜园</t>
  </si>
  <si>
    <t>快手－Ｗ</t>
  </si>
  <si>
    <t>中石化油服</t>
  </si>
  <si>
    <t>长江基建集团</t>
  </si>
  <si>
    <t>恒安国际</t>
  </si>
  <si>
    <t>嘉利国际</t>
  </si>
  <si>
    <t>国际资源</t>
  </si>
  <si>
    <t>越秀交通基建</t>
  </si>
  <si>
    <t>中国南方航空股份</t>
  </si>
  <si>
    <t>浙江世宝</t>
  </si>
  <si>
    <t>亿胜生物科技</t>
  </si>
  <si>
    <t>天津创业环保股份</t>
  </si>
  <si>
    <t>威高股份</t>
  </si>
  <si>
    <t>ＴＣＬ电子</t>
  </si>
  <si>
    <t>华电国际电力股份</t>
  </si>
  <si>
    <t>东方电气</t>
  </si>
  <si>
    <t>港华智慧能源</t>
  </si>
  <si>
    <t>亨鑫科技</t>
  </si>
  <si>
    <t>石药集团</t>
  </si>
  <si>
    <t>国药控股</t>
  </si>
  <si>
    <t>凯盛新能</t>
  </si>
  <si>
    <t>华润置地</t>
  </si>
  <si>
    <t>Ｈ＆Ｈ国际控股</t>
  </si>
  <si>
    <t>长实集团</t>
  </si>
  <si>
    <t>华晨中国</t>
  </si>
  <si>
    <t>现代牧业</t>
  </si>
  <si>
    <t>创梦天地</t>
  </si>
  <si>
    <t>德林国际</t>
  </si>
  <si>
    <t>狮子山集团</t>
  </si>
  <si>
    <t>哈尔滨电气</t>
  </si>
  <si>
    <t>中远海能</t>
  </si>
  <si>
    <t>中联重科</t>
  </si>
  <si>
    <t>中广核矿业</t>
  </si>
  <si>
    <t>加科思－Ｂ</t>
  </si>
  <si>
    <t>中国生物制药</t>
  </si>
  <si>
    <t>华住集团－Ｓ</t>
  </si>
  <si>
    <t>中国铁建</t>
  </si>
  <si>
    <t>华润燃气</t>
  </si>
  <si>
    <t>伟禄集团</t>
  </si>
  <si>
    <t>中远海运港口</t>
  </si>
  <si>
    <t>五矿资源</t>
  </si>
  <si>
    <t>华润万象生活</t>
  </si>
  <si>
    <t>比亚迪股份</t>
  </si>
  <si>
    <t>新沣集团</t>
  </si>
  <si>
    <t>中国利郎</t>
  </si>
  <si>
    <t>思路迪医药股份</t>
  </si>
  <si>
    <t>中国有色矿业</t>
  </si>
  <si>
    <t>美东汽车</t>
  </si>
  <si>
    <t>知行科技</t>
  </si>
  <si>
    <t>恒瑞医药</t>
  </si>
  <si>
    <t>奇点国峰</t>
  </si>
  <si>
    <t>鹰普精密</t>
  </si>
  <si>
    <t>农业银行</t>
  </si>
  <si>
    <t>友邦保险</t>
  </si>
  <si>
    <t>先健科技</t>
  </si>
  <si>
    <t>海丰国际</t>
  </si>
  <si>
    <t>香港宽频</t>
  </si>
  <si>
    <t>耐世特</t>
  </si>
  <si>
    <t>毛戈平</t>
  </si>
  <si>
    <t>绿色动力环保</t>
  </si>
  <si>
    <t>博雷顿</t>
  </si>
  <si>
    <t>新华保险</t>
  </si>
  <si>
    <t>中国人民保险集团</t>
  </si>
  <si>
    <t>复旦张江</t>
  </si>
  <si>
    <t>美图公司</t>
  </si>
  <si>
    <t>中国信达</t>
  </si>
  <si>
    <t>３６１度</t>
  </si>
  <si>
    <t>古茗</t>
  </si>
  <si>
    <t>特步国际</t>
  </si>
  <si>
    <t>中州证券</t>
  </si>
  <si>
    <t>中国宏桥</t>
  </si>
  <si>
    <t>互太纺织</t>
  </si>
  <si>
    <t>上海复旦</t>
  </si>
  <si>
    <t>工商银行</t>
  </si>
  <si>
    <t>达势股份</t>
  </si>
  <si>
    <t>高伟电子</t>
  </si>
  <si>
    <t>捷隆控股</t>
  </si>
  <si>
    <t>耀才证券金融</t>
  </si>
  <si>
    <t>应星控股</t>
  </si>
  <si>
    <t>福寿园</t>
  </si>
  <si>
    <t>国联民生</t>
  </si>
  <si>
    <t>周黑鸭</t>
  </si>
  <si>
    <t>日清食品</t>
  </si>
  <si>
    <t>欧康维视生物－Ｂ</t>
  </si>
  <si>
    <t>丘钛科技</t>
  </si>
  <si>
    <t>燕之屋</t>
  </si>
  <si>
    <t>中国再保险</t>
  </si>
  <si>
    <t>丽珠医药</t>
  </si>
  <si>
    <t>华润医疗</t>
  </si>
  <si>
    <t>极兔速递－Ｗ</t>
  </si>
  <si>
    <t>珩湾科技</t>
  </si>
  <si>
    <t>建桥教育</t>
  </si>
  <si>
    <t>三生制药</t>
  </si>
  <si>
    <t>宜明昂科－Ｂ</t>
  </si>
  <si>
    <t>金斯瑞生物科技</t>
  </si>
  <si>
    <t>颐海国际</t>
  </si>
  <si>
    <t>雅迪控股</t>
  </si>
  <si>
    <t>天伦燃气</t>
  </si>
  <si>
    <t>国银金租</t>
  </si>
  <si>
    <t>中粮家佳康</t>
  </si>
  <si>
    <t>中国中冶</t>
  </si>
  <si>
    <t>嘉耀控股</t>
  </si>
  <si>
    <t>大众公用</t>
  </si>
  <si>
    <t>海纳智能</t>
  </si>
  <si>
    <t>津上机床中国</t>
  </si>
  <si>
    <t>邮储银行</t>
  </si>
  <si>
    <t>同仁堂科技</t>
  </si>
  <si>
    <t>歌礼制药－Ｂ</t>
  </si>
  <si>
    <t>亚信科技</t>
  </si>
  <si>
    <t>康臣药业</t>
  </si>
  <si>
    <t>新意网集团</t>
  </si>
  <si>
    <t>ＪＳ环球生活</t>
  </si>
  <si>
    <t>复锐医疗科技</t>
  </si>
  <si>
    <t>腾讯音乐－ＳＷ</t>
  </si>
  <si>
    <t>德林控股</t>
  </si>
  <si>
    <t>龙资源</t>
  </si>
  <si>
    <t>恒月控股</t>
  </si>
  <si>
    <t>汇聚科技</t>
  </si>
  <si>
    <t>中环新能源</t>
  </si>
  <si>
    <t>英恒科技</t>
  </si>
  <si>
    <t>万咖壹联</t>
  </si>
  <si>
    <t>中国同辐</t>
  </si>
  <si>
    <t>中国中车</t>
  </si>
  <si>
    <t>思考乐教育</t>
  </si>
  <si>
    <t>赣锋锂业</t>
  </si>
  <si>
    <t>天立国际控股</t>
  </si>
  <si>
    <t>广发证券</t>
  </si>
  <si>
    <t>山东黄金</t>
  </si>
  <si>
    <t>国泰君安国际</t>
  </si>
  <si>
    <t>爱康医疗</t>
  </si>
  <si>
    <t>东方甄选</t>
  </si>
  <si>
    <t>大唐新能源</t>
  </si>
  <si>
    <t>新特能源</t>
  </si>
  <si>
    <t>中国交通建设</t>
  </si>
  <si>
    <t>信达生物</t>
  </si>
  <si>
    <t>小米集团－Ｗ</t>
  </si>
  <si>
    <t>中广核新能源</t>
  </si>
  <si>
    <t>珠峰黄金</t>
  </si>
  <si>
    <t>中广核电力</t>
  </si>
  <si>
    <t>招金矿业</t>
  </si>
  <si>
    <t>平安好医生</t>
  </si>
  <si>
    <t>九兴控股</t>
  </si>
  <si>
    <t>五谷磨房</t>
  </si>
  <si>
    <t>中国飞机租赁</t>
  </si>
  <si>
    <t>春立医疗</t>
  </si>
  <si>
    <t>汇量科技</t>
  </si>
  <si>
    <t>中国心连心化肥</t>
  </si>
  <si>
    <t>维亚生物</t>
  </si>
  <si>
    <t>百威亚太</t>
  </si>
  <si>
    <t>君实生物</t>
  </si>
  <si>
    <t>中国中免</t>
  </si>
  <si>
    <t>海天国际</t>
  </si>
  <si>
    <t>中信国际电讯</t>
  </si>
  <si>
    <t>建滔积层板</t>
  </si>
  <si>
    <t>中国科培</t>
  </si>
  <si>
    <t>猫眼娱乐</t>
  </si>
  <si>
    <t>中国旭阳集团</t>
  </si>
  <si>
    <t>建发国际集团</t>
  </si>
  <si>
    <t>新秀丽</t>
  </si>
  <si>
    <t>华兴资本控股</t>
  </si>
  <si>
    <t>普拉达</t>
  </si>
  <si>
    <t>中远海控</t>
  </si>
  <si>
    <t>达力普控股</t>
  </si>
  <si>
    <t>金沙中国有限公司</t>
  </si>
  <si>
    <t>周大福</t>
  </si>
  <si>
    <t>华检医疗</t>
  </si>
  <si>
    <t>锦欣生殖</t>
  </si>
  <si>
    <t>云顶新耀</t>
  </si>
  <si>
    <t>北京汽车</t>
  </si>
  <si>
    <t>重庆银行</t>
  </si>
  <si>
    <t>中国春来</t>
  </si>
  <si>
    <t>南旋控股</t>
  </si>
  <si>
    <t>民生银行</t>
  </si>
  <si>
    <t>九龙仓置业</t>
  </si>
  <si>
    <t>敏华控股</t>
  </si>
  <si>
    <t>新高教集团</t>
  </si>
  <si>
    <t>石四药集团</t>
  </si>
  <si>
    <t>微盟集团</t>
  </si>
  <si>
    <t>理想汽车－Ｗ</t>
  </si>
  <si>
    <t>浙商银行</t>
  </si>
  <si>
    <t>瑞声科技</t>
  </si>
  <si>
    <t>安踏体育</t>
  </si>
  <si>
    <t>瑞丰动力</t>
  </si>
  <si>
    <t>中集集团</t>
  </si>
  <si>
    <t>中通快递－Ｗ</t>
  </si>
  <si>
    <t>ＢＯＳＳ直聘－Ｗ</t>
  </si>
  <si>
    <t>先声药业</t>
  </si>
  <si>
    <t>蜜雪集团</t>
  </si>
  <si>
    <t>中国黄金国际</t>
  </si>
  <si>
    <t>来凯医药－Ｂ</t>
  </si>
  <si>
    <t>超盈国际控股</t>
  </si>
  <si>
    <t>创新奇智</t>
  </si>
  <si>
    <t>药明巨诺－Ｂ</t>
  </si>
  <si>
    <t>中国联塑</t>
  </si>
  <si>
    <t>腾盛博药－Ｂ</t>
  </si>
  <si>
    <t>和铂医药－Ｂ</t>
  </si>
  <si>
    <t>上美股份</t>
  </si>
  <si>
    <t>奈雪的茶</t>
  </si>
  <si>
    <t>森松国际</t>
  </si>
  <si>
    <t>医渡科技</t>
  </si>
  <si>
    <t>哔哩哔哩－Ｗ</t>
  </si>
  <si>
    <t>农夫山泉</t>
  </si>
  <si>
    <t>九方智投控股</t>
  </si>
  <si>
    <t>特海国际</t>
  </si>
  <si>
    <t>地平线机器人－Ｗ</t>
  </si>
  <si>
    <t>渤海银行</t>
  </si>
  <si>
    <t>北森控股</t>
  </si>
  <si>
    <t>十月稻田</t>
  </si>
  <si>
    <t>再鼎医药</t>
  </si>
  <si>
    <t>途虎－Ｗ</t>
  </si>
  <si>
    <t>天齐锂业</t>
  </si>
  <si>
    <t>万国数据－ＳＷ</t>
  </si>
  <si>
    <t>顺丰同城</t>
  </si>
  <si>
    <t>优然牧业</t>
  </si>
  <si>
    <t>艾迪康控股</t>
  </si>
  <si>
    <t>零跑汽车</t>
  </si>
  <si>
    <t>蔚来－ＳＷ</t>
  </si>
  <si>
    <t>健世科技－Ｂ</t>
  </si>
  <si>
    <t>汇通达网络</t>
  </si>
  <si>
    <t>米高集团</t>
  </si>
  <si>
    <t>优必选</t>
  </si>
  <si>
    <t>药师帮</t>
  </si>
  <si>
    <t>百度集团－ＳＷ</t>
  </si>
  <si>
    <t>名创优品</t>
  </si>
  <si>
    <t>微博－ＳＷ</t>
  </si>
  <si>
    <t>网易云音乐</t>
  </si>
  <si>
    <t>新东方－Ｓ</t>
  </si>
  <si>
    <t>赤子城科技</t>
  </si>
  <si>
    <t>九毛九</t>
  </si>
  <si>
    <t>移卡</t>
  </si>
  <si>
    <t>康方生物</t>
  </si>
  <si>
    <t>宏信建发</t>
  </si>
  <si>
    <t>稀美资源</t>
  </si>
  <si>
    <t>开拓药业－Ｂ</t>
  </si>
  <si>
    <t>联易融科技－Ｗ</t>
  </si>
  <si>
    <t>携程集团－Ｓ</t>
  </si>
  <si>
    <t>康宁杰瑞制药－Ｂ</t>
  </si>
  <si>
    <t>诺诚健华</t>
  </si>
  <si>
    <t>绿城管理控股</t>
  </si>
  <si>
    <t>卫龙美味</t>
  </si>
  <si>
    <t>百胜中国</t>
  </si>
  <si>
    <t>阿里巴巴－Ｗ</t>
  </si>
  <si>
    <t>海普瑞</t>
  </si>
  <si>
    <t>泡泡玛特</t>
  </si>
  <si>
    <t>荣昌生物</t>
  </si>
  <si>
    <t>沛嘉医疗－Ｂ</t>
  </si>
  <si>
    <t>网易－Ｓ</t>
  </si>
  <si>
    <t>九龙仓集团</t>
  </si>
  <si>
    <t>希慎兴业</t>
  </si>
  <si>
    <t>新世界发展</t>
  </si>
  <si>
    <t>达力集团</t>
  </si>
  <si>
    <t>航天控股</t>
  </si>
  <si>
    <t>鹰君</t>
  </si>
  <si>
    <t>ＣＡＩ控股</t>
  </si>
  <si>
    <t>普星能量</t>
  </si>
  <si>
    <t>国锐生活</t>
  </si>
  <si>
    <t>保利置业集团</t>
  </si>
  <si>
    <t>嘉华国际</t>
  </si>
  <si>
    <t>协合新能源</t>
  </si>
  <si>
    <t>京城机电股份</t>
  </si>
  <si>
    <t>汤臣集团</t>
  </si>
  <si>
    <t>瑞安房地产</t>
  </si>
  <si>
    <t>中手游</t>
  </si>
  <si>
    <t>布鲁可</t>
  </si>
  <si>
    <t>协鑫新能源</t>
  </si>
  <si>
    <t>中国智能科技</t>
  </si>
  <si>
    <t>瑞风新能源</t>
  </si>
  <si>
    <t>中创智领</t>
  </si>
  <si>
    <t>锦艺集团控股</t>
  </si>
  <si>
    <t>北京北辰实业股份</t>
  </si>
  <si>
    <t>深圳控股</t>
  </si>
  <si>
    <t>中国核能科技</t>
  </si>
  <si>
    <t>坛金矿业</t>
  </si>
  <si>
    <t>广和通</t>
  </si>
  <si>
    <t>首钢资源</t>
  </si>
  <si>
    <t>东吴水泥</t>
  </si>
  <si>
    <t>均胜电子</t>
  </si>
  <si>
    <t>合生创展集团</t>
  </si>
  <si>
    <t>文远知行－Ｗ</t>
  </si>
  <si>
    <t>金茂服务</t>
  </si>
  <si>
    <t>中国秦发</t>
  </si>
  <si>
    <t>世茂服务</t>
  </si>
  <si>
    <t>从玉智农</t>
  </si>
  <si>
    <t>东江环保</t>
  </si>
  <si>
    <t>趣致集团</t>
  </si>
  <si>
    <t>中国港能</t>
  </si>
  <si>
    <t>非凡领越</t>
  </si>
  <si>
    <t>MONGOL MINING</t>
  </si>
  <si>
    <t>至源控股</t>
  </si>
  <si>
    <t>欢喜传媒</t>
  </si>
  <si>
    <t>千百度</t>
  </si>
  <si>
    <t>新城发展</t>
  </si>
  <si>
    <t>重庆钢铁股份</t>
  </si>
  <si>
    <t>大麦娱乐</t>
  </si>
  <si>
    <t>中国神华</t>
  </si>
  <si>
    <t>南方锰业</t>
  </si>
  <si>
    <t>兖矿能源</t>
  </si>
  <si>
    <t>美联集团</t>
  </si>
  <si>
    <t>北海康成－Ｂ</t>
  </si>
  <si>
    <t>米格国际控股</t>
  </si>
  <si>
    <t>力量发展</t>
  </si>
  <si>
    <t>高陞集团控股</t>
  </si>
  <si>
    <t>FORTIOR</t>
  </si>
  <si>
    <t>华润建材科技</t>
  </si>
  <si>
    <t>中国碳中和</t>
  </si>
  <si>
    <t>滴普科技</t>
  </si>
  <si>
    <t>未来机器有限公司</t>
  </si>
  <si>
    <t>安领国际</t>
  </si>
  <si>
    <t>众淼控股</t>
  </si>
  <si>
    <t>融创服务</t>
  </si>
  <si>
    <t>天机控股</t>
  </si>
  <si>
    <t>红星美凯龙</t>
  </si>
  <si>
    <t>MOS HOUSE</t>
  </si>
  <si>
    <t>七元投资</t>
  </si>
  <si>
    <t>义合控股</t>
  </si>
  <si>
    <t>HOME CONTROL</t>
  </si>
  <si>
    <t>晋景新能</t>
  </si>
  <si>
    <t>中国数智科技</t>
  </si>
  <si>
    <t>富卫集团</t>
  </si>
  <si>
    <t>中庆股份</t>
  </si>
  <si>
    <t>益美国际控股</t>
  </si>
  <si>
    <t>中煤能源</t>
  </si>
  <si>
    <t>博尼控股</t>
  </si>
  <si>
    <t>融创中国</t>
  </si>
  <si>
    <t>上善黄金</t>
  </si>
  <si>
    <t>太古地产</t>
  </si>
  <si>
    <t>永升服务</t>
  </si>
  <si>
    <t>金隅集团</t>
  </si>
  <si>
    <t>小马智行－Ｗ</t>
  </si>
  <si>
    <t>富智康集团</t>
  </si>
  <si>
    <t>三花智控</t>
  </si>
  <si>
    <t>VALA</t>
  </si>
  <si>
    <t>中铝国际</t>
  </si>
  <si>
    <t>三叶草生物－Ｂ</t>
  </si>
  <si>
    <t>万科企业</t>
  </si>
  <si>
    <t>西部水泥</t>
  </si>
  <si>
    <t>圣诺医药－Ｂ</t>
  </si>
  <si>
    <t>紫金黄金国际</t>
  </si>
  <si>
    <t>京西国际</t>
  </si>
  <si>
    <t>宝业集团</t>
  </si>
  <si>
    <t>酷派集团</t>
  </si>
  <si>
    <t>中国安储能源</t>
  </si>
  <si>
    <t>遇见小面</t>
  </si>
  <si>
    <t>出门问问</t>
  </si>
  <si>
    <t>怡俊集团控股</t>
  </si>
  <si>
    <t>升辉清洁</t>
  </si>
  <si>
    <t>禾赛－Ｗ</t>
  </si>
  <si>
    <t>泓基集团</t>
  </si>
  <si>
    <t>乐摩科技</t>
  </si>
  <si>
    <t>大行科工</t>
  </si>
  <si>
    <t>狮腾控股</t>
  </si>
  <si>
    <t>重塑能源</t>
  </si>
  <si>
    <t>轩竹生物－Ｂ</t>
  </si>
  <si>
    <t>中伟新材</t>
  </si>
  <si>
    <t>奥克斯电气</t>
  </si>
  <si>
    <t>西普尼</t>
  </si>
  <si>
    <t>极智嘉－Ｗ</t>
  </si>
  <si>
    <t>银诺医药－Ｂ</t>
  </si>
  <si>
    <t>拨康视云－Ｂ</t>
  </si>
  <si>
    <t>劲方医药－Ｂ</t>
  </si>
  <si>
    <t>佰泽医疗</t>
  </si>
  <si>
    <t>药捷安康－Ｂ</t>
  </si>
  <si>
    <t>香江电器</t>
  </si>
  <si>
    <t>中慧生物－Ｂ</t>
  </si>
  <si>
    <t>MIRXES-B</t>
  </si>
  <si>
    <t>旺山旺水－Ｂ</t>
  </si>
  <si>
    <t>天岳先进</t>
  </si>
  <si>
    <t>海西新药</t>
  </si>
  <si>
    <t>曹操出行</t>
  </si>
  <si>
    <t>安井食品</t>
  </si>
  <si>
    <t>挚达科技</t>
  </si>
  <si>
    <t>长风药业</t>
  </si>
  <si>
    <t>健康１６０</t>
  </si>
  <si>
    <t>天域半导体</t>
  </si>
  <si>
    <t>云迹</t>
  </si>
  <si>
    <t>华新手袋国际控股</t>
  </si>
  <si>
    <t>量化派</t>
  </si>
  <si>
    <t>乐舒适</t>
  </si>
  <si>
    <t>明略科技－Ｗ</t>
  </si>
  <si>
    <t>富力地产</t>
  </si>
  <si>
    <t>创新实业</t>
  </si>
  <si>
    <t>久泰邦达能源</t>
  </si>
  <si>
    <t>绿城服务</t>
  </si>
  <si>
    <t>博泰车联</t>
  </si>
  <si>
    <t>海天味业</t>
  </si>
  <si>
    <t>中国玻璃</t>
  </si>
  <si>
    <t>滨江服务</t>
  </si>
  <si>
    <t>雅生活服务</t>
  </si>
  <si>
    <t>中国建材</t>
  </si>
  <si>
    <t>龙光集团</t>
  </si>
  <si>
    <t>兖煤澳大利亚</t>
  </si>
  <si>
    <t>协鑫科技</t>
  </si>
  <si>
    <t>中国动向</t>
  </si>
  <si>
    <t>正大企业国际</t>
  </si>
  <si>
    <t>佳鑫国际资源</t>
  </si>
  <si>
    <t>泰德医药</t>
  </si>
  <si>
    <t>中国新零售供应链</t>
  </si>
  <si>
    <t>美的置业</t>
  </si>
  <si>
    <t>三一重工</t>
  </si>
  <si>
    <t>不同集团</t>
  </si>
  <si>
    <t>康达环保</t>
  </si>
  <si>
    <t>天瑞汽车内饰</t>
  </si>
  <si>
    <t>剑桥科技</t>
  </si>
  <si>
    <t>周六福</t>
  </si>
  <si>
    <t>宇华教育</t>
  </si>
  <si>
    <t>乙德投资控股</t>
  </si>
  <si>
    <t>IFBH</t>
  </si>
  <si>
    <t>蓝思科技</t>
  </si>
  <si>
    <t>越秀服务</t>
  </si>
  <si>
    <t>华新建材</t>
  </si>
  <si>
    <t>恒大物业</t>
  </si>
  <si>
    <t>聚水潭</t>
  </si>
  <si>
    <t>颖通控股</t>
  </si>
  <si>
    <t>金马能源</t>
  </si>
  <si>
    <t>东阳光药</t>
  </si>
  <si>
    <t>双登股份</t>
  </si>
  <si>
    <t>八马茶业</t>
  </si>
  <si>
    <t>卓越商企服务</t>
  </si>
  <si>
    <t>悟喜生活</t>
  </si>
  <si>
    <t>大唐黄金</t>
  </si>
  <si>
    <t>圣唐控股</t>
  </si>
  <si>
    <t>基石科技控股</t>
  </si>
  <si>
    <t>九福来</t>
  </si>
  <si>
    <t>大象控股集团</t>
  </si>
  <si>
    <t>映恩生物－Ｂ</t>
  </si>
  <si>
    <t>海伟股份</t>
  </si>
  <si>
    <t>云知声</t>
  </si>
  <si>
    <t>维立志博－Ｂ</t>
  </si>
  <si>
    <t>贪玩</t>
  </si>
  <si>
    <t>智云科技建设</t>
  </si>
  <si>
    <t>赛力斯</t>
  </si>
  <si>
    <t>澳达控股</t>
  </si>
  <si>
    <t>奇瑞汽车</t>
  </si>
  <si>
    <t>建业新生活</t>
  </si>
  <si>
    <t>金辉控股</t>
  </si>
  <si>
    <t>其他医疗保健</t>
  </si>
  <si>
    <t>煤炭</t>
  </si>
  <si>
    <t>东方传媒集团</t>
  </si>
  <si>
    <t>CHEVALIER INT'L</t>
  </si>
  <si>
    <t>中华汽车</t>
  </si>
  <si>
    <t>天安</t>
  </si>
  <si>
    <t>云白国际</t>
  </si>
  <si>
    <t>港通控股</t>
  </si>
  <si>
    <t>INTL GENIUS</t>
  </si>
  <si>
    <t>九龙建业</t>
  </si>
  <si>
    <t>远东发展</t>
  </si>
  <si>
    <t>远东酒店实业</t>
  </si>
  <si>
    <t>金山科技工业</t>
  </si>
  <si>
    <t>大酒店</t>
  </si>
  <si>
    <t>科联系统</t>
  </si>
  <si>
    <t>中国汽车内饰</t>
  </si>
  <si>
    <t>香港小轮（集团）</t>
  </si>
  <si>
    <t>海港企业</t>
  </si>
  <si>
    <t>大快活集团</t>
  </si>
  <si>
    <t>国浩集团</t>
  </si>
  <si>
    <t>震雄集团</t>
  </si>
  <si>
    <t>新威国际</t>
  </si>
  <si>
    <t>香港食品投资</t>
  </si>
  <si>
    <t>结好控股</t>
  </si>
  <si>
    <t>群核科技</t>
  </si>
  <si>
    <t>美丽华酒店</t>
  </si>
  <si>
    <t>超媒体控股</t>
  </si>
  <si>
    <t>渝太地产</t>
  </si>
  <si>
    <t>进智公共交通</t>
  </si>
  <si>
    <t>TAI CHEUNG HOLD</t>
  </si>
  <si>
    <t>大生地产</t>
  </si>
  <si>
    <t>冠军科技集团</t>
  </si>
  <si>
    <t>零在科技金融</t>
  </si>
  <si>
    <t>绿景中国地产</t>
  </si>
  <si>
    <t>YUSEI</t>
  </si>
  <si>
    <t>恒基发展</t>
  </si>
  <si>
    <t>兴发铝业</t>
  </si>
  <si>
    <t>王氏国际</t>
  </si>
  <si>
    <t>MINIMAX-W</t>
  </si>
  <si>
    <t>首佳科技</t>
  </si>
  <si>
    <t>ASIA COMM HOLD</t>
  </si>
  <si>
    <t>凯联国际酒店</t>
  </si>
  <si>
    <t>信达国际控股</t>
  </si>
  <si>
    <t>迪生创建</t>
  </si>
  <si>
    <t>HERALD HOLD</t>
  </si>
  <si>
    <t>钧濠集团</t>
  </si>
  <si>
    <t>天利控股集团</t>
  </si>
  <si>
    <t>大同机械</t>
  </si>
  <si>
    <t>鳄鱼恤</t>
  </si>
  <si>
    <t>粤海置地</t>
  </si>
  <si>
    <t>佳宁娜</t>
  </si>
  <si>
    <t>华人置业</t>
  </si>
  <si>
    <t>安宁控股</t>
  </si>
  <si>
    <t>泛海集团</t>
  </si>
  <si>
    <t>卓能（集团）</t>
  </si>
  <si>
    <t>兴业控股</t>
  </si>
  <si>
    <t>招商局中国基金</t>
  </si>
  <si>
    <t>金辉集团</t>
  </si>
  <si>
    <t>小鱼盈通</t>
  </si>
  <si>
    <t>TAI PING CARPET</t>
  </si>
  <si>
    <t>HYPEBEAST</t>
  </si>
  <si>
    <t>北京控股环境集团</t>
  </si>
  <si>
    <t>力宝华润</t>
  </si>
  <si>
    <t>自然美</t>
  </si>
  <si>
    <t>万邦投资</t>
  </si>
  <si>
    <t>汉国置业</t>
  </si>
  <si>
    <t>英皇国际</t>
  </si>
  <si>
    <t>中国宝力科技</t>
  </si>
  <si>
    <t>IDT INT'L</t>
  </si>
  <si>
    <t>万达酒店发展</t>
  </si>
  <si>
    <t>盛洋投资</t>
  </si>
  <si>
    <t>开达集团</t>
  </si>
  <si>
    <t>闽港控股</t>
  </si>
  <si>
    <t>激成投资</t>
  </si>
  <si>
    <t>敏捷控股</t>
  </si>
  <si>
    <t>新华汇富金融</t>
  </si>
  <si>
    <t>丽新国际</t>
  </si>
  <si>
    <t>廖创兴企业</t>
  </si>
  <si>
    <t>绿科科技国际</t>
  </si>
  <si>
    <t>宏华集团</t>
  </si>
  <si>
    <t>德祥地产</t>
  </si>
  <si>
    <t>BFB HEALTH</t>
  </si>
  <si>
    <t>华商能源</t>
  </si>
  <si>
    <t>万维智能科技</t>
  </si>
  <si>
    <t>达芙妮国际</t>
  </si>
  <si>
    <t>STYLAND HOLD</t>
  </si>
  <si>
    <t>NANYANG HOLD</t>
  </si>
  <si>
    <t>NATIONAL ELEC H</t>
  </si>
  <si>
    <t>汇汉控股</t>
  </si>
  <si>
    <t>建业实业</t>
  </si>
  <si>
    <t>中国诚通发展集团</t>
  </si>
  <si>
    <t>顺豪物业</t>
  </si>
  <si>
    <t>闽信集团</t>
  </si>
  <si>
    <t>易生活控股</t>
  </si>
  <si>
    <t>建生国际</t>
  </si>
  <si>
    <t>博富临置业</t>
  </si>
  <si>
    <t>第一上海</t>
  </si>
  <si>
    <t>中能控股</t>
  </si>
  <si>
    <t>利民实业</t>
  </si>
  <si>
    <t>大陆航空科技控股</t>
  </si>
  <si>
    <t>香港生力啤</t>
  </si>
  <si>
    <t>安全货仓</t>
  </si>
  <si>
    <t>白花油</t>
  </si>
  <si>
    <t>利基控股</t>
  </si>
  <si>
    <t>信德集团</t>
  </si>
  <si>
    <t>QPL INT'L</t>
  </si>
  <si>
    <t>先施</t>
  </si>
  <si>
    <t>中薇金融</t>
  </si>
  <si>
    <t>TST PROPERTIES</t>
  </si>
  <si>
    <t>爪哇控股</t>
  </si>
  <si>
    <t>华信地产财务</t>
  </si>
  <si>
    <t>顺豪控股</t>
  </si>
  <si>
    <t>国家联合资源</t>
  </si>
  <si>
    <t>龙记集团</t>
  </si>
  <si>
    <t>中联发展控股</t>
  </si>
  <si>
    <t>港誉智慧城市服务</t>
  </si>
  <si>
    <t>天德地产</t>
  </si>
  <si>
    <t>亚证地产</t>
  </si>
  <si>
    <t>蒙古能源</t>
  </si>
  <si>
    <t>太兴置业</t>
  </si>
  <si>
    <t>裕承科金</t>
  </si>
  <si>
    <t>景福集团</t>
  </si>
  <si>
    <t>爱帝宫</t>
  </si>
  <si>
    <t>永发置业</t>
  </si>
  <si>
    <t>WING ON CO</t>
  </si>
  <si>
    <t>长江制衣</t>
  </si>
  <si>
    <t>英皇娱乐酒店</t>
  </si>
  <si>
    <t>三和精化</t>
  </si>
  <si>
    <t>五菱汽车</t>
  </si>
  <si>
    <t>冠忠巴士集团</t>
  </si>
  <si>
    <t>联泰控股</t>
  </si>
  <si>
    <t>思派健康</t>
  </si>
  <si>
    <t>黄河实业</t>
  </si>
  <si>
    <t>金宝通</t>
  </si>
  <si>
    <t>ALCO HOLDINGS</t>
  </si>
  <si>
    <t>东建国际</t>
  </si>
  <si>
    <t>思捷环球</t>
  </si>
  <si>
    <t>丰盛生活服务</t>
  </si>
  <si>
    <t>华显光电</t>
  </si>
  <si>
    <t>美建集团</t>
  </si>
  <si>
    <t>绿地香港</t>
  </si>
  <si>
    <t>全球数字控股</t>
  </si>
  <si>
    <t>文化传信</t>
  </si>
  <si>
    <t>延长石油国际</t>
  </si>
  <si>
    <t>亚洲能源物流</t>
  </si>
  <si>
    <t>能源国际投资</t>
  </si>
  <si>
    <t>芯成科技</t>
  </si>
  <si>
    <t>陆氏集团（越南）</t>
  </si>
  <si>
    <t>庄士机构国际</t>
  </si>
  <si>
    <t>德合集团</t>
  </si>
  <si>
    <t>永泰地产</t>
  </si>
  <si>
    <t>联合集团</t>
  </si>
  <si>
    <t>四洲集团</t>
  </si>
  <si>
    <t>YGM TRADING</t>
  </si>
  <si>
    <t>中国管业</t>
  </si>
  <si>
    <t>天安卓健</t>
  </si>
  <si>
    <t>建联集团</t>
  </si>
  <si>
    <t>力丰（集团）</t>
  </si>
  <si>
    <t>旭日企业</t>
  </si>
  <si>
    <t>兴利（香港）控股</t>
  </si>
  <si>
    <t>万嘉集团</t>
  </si>
  <si>
    <t>有利集团</t>
  </si>
  <si>
    <t>叶氏化工集团</t>
  </si>
  <si>
    <t>ＳＯＨＯ中国</t>
  </si>
  <si>
    <t>南顺（香港）</t>
  </si>
  <si>
    <t>谢瑞麟</t>
  </si>
  <si>
    <t>方正控股</t>
  </si>
  <si>
    <t>弘毅文化集团</t>
  </si>
  <si>
    <t>福田实业</t>
  </si>
  <si>
    <t>越南制造加工出口</t>
  </si>
  <si>
    <t>经济日报集团</t>
  </si>
  <si>
    <t>东方兴业控股</t>
  </si>
  <si>
    <t>盈大地产</t>
  </si>
  <si>
    <t>彩虹新能源</t>
  </si>
  <si>
    <t>瀚源控股</t>
  </si>
  <si>
    <t>域能控股</t>
  </si>
  <si>
    <t>鸿兴印刷集团</t>
  </si>
  <si>
    <t>新城市建设发展</t>
  </si>
  <si>
    <t>联亚集团</t>
  </si>
  <si>
    <t>富通科技</t>
  </si>
  <si>
    <t>纷美包装</t>
  </si>
  <si>
    <t>先导智能</t>
  </si>
  <si>
    <t>新丝路控股集团</t>
  </si>
  <si>
    <t>信铭生命科技</t>
  </si>
  <si>
    <t>中发展控股</t>
  </si>
  <si>
    <t>科轩动力控股</t>
  </si>
  <si>
    <t>香港兴业国际</t>
  </si>
  <si>
    <t>圣马丁国际</t>
  </si>
  <si>
    <t>云游控股</t>
  </si>
  <si>
    <t>中国华星</t>
  </si>
  <si>
    <t>丽新发展</t>
  </si>
  <si>
    <t>卡森国际</t>
  </si>
  <si>
    <t>资本策略地产</t>
  </si>
  <si>
    <t>青岛控股</t>
  </si>
  <si>
    <t>豪威集团</t>
  </si>
  <si>
    <t>兴业合金</t>
  </si>
  <si>
    <t>鼎亿集团投资</t>
  </si>
  <si>
    <t>时富金融服务集团</t>
  </si>
  <si>
    <t>电视广播</t>
  </si>
  <si>
    <t>恒和集团</t>
  </si>
  <si>
    <t>诺科达科技</t>
  </si>
  <si>
    <t>CWT INT'L</t>
  </si>
  <si>
    <t>长城天下</t>
  </si>
  <si>
    <t>利时集团控股</t>
  </si>
  <si>
    <t>金达控股</t>
  </si>
  <si>
    <t>SIS INT'L</t>
  </si>
  <si>
    <t>WKK INTL (HOLD)</t>
  </si>
  <si>
    <t>金利来集团</t>
  </si>
  <si>
    <t>贸易通</t>
  </si>
  <si>
    <t>味千（中国）</t>
  </si>
  <si>
    <t>迅捷环球控股</t>
  </si>
  <si>
    <t>中国文旅农业</t>
  </si>
  <si>
    <t>太平洋网络</t>
  </si>
  <si>
    <t>数字王国</t>
  </si>
  <si>
    <t>律齐文化</t>
  </si>
  <si>
    <t>汉思集团控股</t>
  </si>
  <si>
    <t>泛亚环保</t>
  </si>
  <si>
    <t>天元医疗</t>
  </si>
  <si>
    <t>珠江船务</t>
  </si>
  <si>
    <t>上实城市开发</t>
  </si>
  <si>
    <t>大昌微线集团</t>
  </si>
  <si>
    <t>未来世界控股</t>
  </si>
  <si>
    <t>稻香控股</t>
  </si>
  <si>
    <t>励晶太平洋</t>
  </si>
  <si>
    <t>长城环亚控股</t>
  </si>
  <si>
    <t>意力国际</t>
  </si>
  <si>
    <t>中国高精密</t>
  </si>
  <si>
    <t>AV CONCEPT HOLD</t>
  </si>
  <si>
    <t>爱芯元智</t>
  </si>
  <si>
    <t>中油燃气</t>
  </si>
  <si>
    <t>中国金融投资管理</t>
  </si>
  <si>
    <t>中骏商管</t>
  </si>
  <si>
    <t>丰盛控股</t>
  </si>
  <si>
    <t>达利国际</t>
  </si>
  <si>
    <t>天德化工</t>
  </si>
  <si>
    <t>WAI KEE HOLD</t>
  </si>
  <si>
    <t>嘉文世纪投资公司</t>
  </si>
  <si>
    <t>梧桐国际</t>
  </si>
  <si>
    <t>财富链</t>
  </si>
  <si>
    <t>百利保控股</t>
  </si>
  <si>
    <t>北大资源</t>
  </si>
  <si>
    <t>大唐西市</t>
  </si>
  <si>
    <t>威华达控股</t>
  </si>
  <si>
    <t>中视金桥</t>
  </si>
  <si>
    <t>大众金融控股</t>
  </si>
  <si>
    <t>共生智筑</t>
  </si>
  <si>
    <t>通通ＡＩ社交</t>
  </si>
  <si>
    <t>悦达国际控股</t>
  </si>
  <si>
    <t>隽泰控股</t>
  </si>
  <si>
    <t>中港石油</t>
  </si>
  <si>
    <t>彩星集团</t>
  </si>
  <si>
    <t>利记</t>
  </si>
  <si>
    <t>星谦发展</t>
  </si>
  <si>
    <t>中国恒天立信国际</t>
  </si>
  <si>
    <t>恒富控股</t>
  </si>
  <si>
    <t>安域亚洲</t>
  </si>
  <si>
    <t>京玖康疗（新）</t>
  </si>
  <si>
    <t>普达特科技</t>
  </si>
  <si>
    <t>香港华人有限公司</t>
  </si>
  <si>
    <t>中国高速传动</t>
  </si>
  <si>
    <t>玮俊生物科技</t>
  </si>
  <si>
    <t>亚洲金融</t>
  </si>
  <si>
    <t>铜师傅</t>
  </si>
  <si>
    <t>中国卫生集团</t>
  </si>
  <si>
    <t>坚宝国际</t>
  </si>
  <si>
    <t>创信国际</t>
  </si>
  <si>
    <t>金源发展国际实业</t>
  </si>
  <si>
    <t>亚洲联网（五千）</t>
  </si>
  <si>
    <t>亚伦国际</t>
  </si>
  <si>
    <t>世界华文媒体</t>
  </si>
  <si>
    <t>北京能源国际</t>
  </si>
  <si>
    <t>泰升集团</t>
  </si>
  <si>
    <t>长盈集团（控股）</t>
  </si>
  <si>
    <t>山水水泥</t>
  </si>
  <si>
    <t>陈唱国际</t>
  </si>
  <si>
    <t>通达集团</t>
  </si>
  <si>
    <t>CNT GROUP</t>
  </si>
  <si>
    <t>恒大汽车</t>
  </si>
  <si>
    <t>亚洲联合基建控股</t>
  </si>
  <si>
    <t>世界（集团）</t>
  </si>
  <si>
    <t>意达利控股</t>
  </si>
  <si>
    <t>中国金融国际－新</t>
  </si>
  <si>
    <t>联合医务</t>
  </si>
  <si>
    <t>信保环球控股</t>
  </si>
  <si>
    <t>恒都集团</t>
  </si>
  <si>
    <t>皇冠环球集团</t>
  </si>
  <si>
    <t>首惠产业金融</t>
  </si>
  <si>
    <t>建发新胜</t>
  </si>
  <si>
    <t>合富辉煌</t>
  </si>
  <si>
    <t>湾区发展</t>
  </si>
  <si>
    <t>莱尔斯丹</t>
  </si>
  <si>
    <t>亚洲水泥（中国）</t>
  </si>
  <si>
    <t>中国国家文化产业</t>
  </si>
  <si>
    <t>水发兴业能源</t>
  </si>
  <si>
    <t>森美控股</t>
  </si>
  <si>
    <t>CEC INT'L HOLD</t>
  </si>
  <si>
    <t>永恒策略</t>
  </si>
  <si>
    <t>中基长寿科学</t>
  </si>
  <si>
    <t>中国稀土</t>
  </si>
  <si>
    <t>自动系统</t>
  </si>
  <si>
    <t>帝国科技集团</t>
  </si>
  <si>
    <t>凌锐控股</t>
  </si>
  <si>
    <t>雅天妮集团</t>
  </si>
  <si>
    <t>第七大道</t>
  </si>
  <si>
    <t>中电光谷</t>
  </si>
  <si>
    <t>鼎石资本</t>
  </si>
  <si>
    <t>新吉奥房车</t>
  </si>
  <si>
    <t>上海实业环境</t>
  </si>
  <si>
    <t>高阳科技</t>
  </si>
  <si>
    <t>汇盈控股</t>
  </si>
  <si>
    <t>嘉瑞国际</t>
  </si>
  <si>
    <t>新世界百货中国</t>
  </si>
  <si>
    <t>王朝酒业</t>
  </si>
  <si>
    <t>神冠控股</t>
  </si>
  <si>
    <t>中国建筑兴业</t>
  </si>
  <si>
    <t>利亚零售</t>
  </si>
  <si>
    <t>华讯</t>
  </si>
  <si>
    <t>康大食品</t>
  </si>
  <si>
    <t>谭木匠</t>
  </si>
  <si>
    <t>木薯资源</t>
  </si>
  <si>
    <t>广泰国际控股</t>
  </si>
  <si>
    <t>盛源控股</t>
  </si>
  <si>
    <t>海峡石油化工</t>
  </si>
  <si>
    <t>威雅利</t>
  </si>
  <si>
    <t>ＡＰＯＬＬＯ出行</t>
  </si>
  <si>
    <t>远见控股（新）</t>
  </si>
  <si>
    <t>彩星玩具</t>
  </si>
  <si>
    <t>金朝阳集团</t>
  </si>
  <si>
    <t>天津发展</t>
  </si>
  <si>
    <t>英皇钟表珠宝</t>
  </si>
  <si>
    <t>连达科技控股</t>
  </si>
  <si>
    <t>万裕科技</t>
  </si>
  <si>
    <t>兴胜创建</t>
  </si>
  <si>
    <t>位元堂</t>
  </si>
  <si>
    <t>万事昌国际</t>
  </si>
  <si>
    <t>AEON CREDIT</t>
  </si>
  <si>
    <t>华曦达</t>
  </si>
  <si>
    <t>前海健康</t>
  </si>
  <si>
    <t>信佳国际</t>
  </si>
  <si>
    <t>龙翼航空科技</t>
  </si>
  <si>
    <t>碧生源</t>
  </si>
  <si>
    <t>富士高实业</t>
  </si>
  <si>
    <t>国际精密</t>
  </si>
  <si>
    <t>佳兆业资本</t>
  </si>
  <si>
    <t>民生国际</t>
  </si>
  <si>
    <t>中证国际</t>
  </si>
  <si>
    <t>摩比发展</t>
  </si>
  <si>
    <t>阿尔法企业</t>
  </si>
  <si>
    <t>李氏大药厂</t>
  </si>
  <si>
    <t>邵氏兄弟控股</t>
  </si>
  <si>
    <t>新耀莱</t>
  </si>
  <si>
    <t>中国顺客隆</t>
  </si>
  <si>
    <t>齐合环保</t>
  </si>
  <si>
    <t>招商局置地</t>
  </si>
  <si>
    <t>绿色能源科技集团</t>
  </si>
  <si>
    <t>联华超市</t>
  </si>
  <si>
    <t>瑞安建业</t>
  </si>
  <si>
    <t>中国再生能源投资</t>
  </si>
  <si>
    <t>中国长白山国际</t>
  </si>
  <si>
    <t>中天宏信</t>
  </si>
  <si>
    <t>沪港联合</t>
  </si>
  <si>
    <t>MATRIX HOLDINGS</t>
  </si>
  <si>
    <t>力图控股</t>
  </si>
  <si>
    <t>国际娱乐</t>
  </si>
  <si>
    <t>泰凌医药</t>
  </si>
  <si>
    <t>伟俊集团控股</t>
  </si>
  <si>
    <t>中细软科技</t>
  </si>
  <si>
    <t>华沿机器人</t>
  </si>
  <si>
    <t>飞鱼科技</t>
  </si>
  <si>
    <t>时代集团控股</t>
  </si>
  <si>
    <t>亚洲策略科技</t>
  </si>
  <si>
    <t>铁货</t>
  </si>
  <si>
    <t>万科海外</t>
  </si>
  <si>
    <t>云智汇科技</t>
  </si>
  <si>
    <t>亚太卫星</t>
  </si>
  <si>
    <t>寰宇娱乐文化</t>
  </si>
  <si>
    <t>毅兴行</t>
  </si>
  <si>
    <t>南粤控股</t>
  </si>
  <si>
    <t>看通集团</t>
  </si>
  <si>
    <t>首都信息</t>
  </si>
  <si>
    <t>松景科技</t>
  </si>
  <si>
    <t>大金重工</t>
  </si>
  <si>
    <t>源宇宙教育</t>
  </si>
  <si>
    <t>绿新生物科技</t>
  </si>
  <si>
    <t>好孩子国际</t>
  </si>
  <si>
    <t>威讯控股</t>
  </si>
  <si>
    <t>大明国际</t>
  </si>
  <si>
    <t>承辉国际</t>
  </si>
  <si>
    <t>路劲</t>
  </si>
  <si>
    <t>飞达控股</t>
  </si>
  <si>
    <t>亚太资源</t>
  </si>
  <si>
    <t>星岛</t>
  </si>
  <si>
    <t>金活医药集团</t>
  </si>
  <si>
    <t>华视集团控股</t>
  </si>
  <si>
    <t>５１００藏冰川</t>
  </si>
  <si>
    <t>慧源同创科技</t>
  </si>
  <si>
    <t>高力集团</t>
  </si>
  <si>
    <t>雅视光学</t>
  </si>
  <si>
    <t>金阳新能源</t>
  </si>
  <si>
    <t>庆铃汽车股份</t>
  </si>
  <si>
    <t>中港照相</t>
  </si>
  <si>
    <t>丽丰控股</t>
  </si>
  <si>
    <t>永利澳门</t>
  </si>
  <si>
    <t>中国水业集团</t>
  </si>
  <si>
    <t>中国环境资源</t>
  </si>
  <si>
    <t>恒发光学</t>
  </si>
  <si>
    <t>香港科技探索</t>
  </si>
  <si>
    <t>华科智能投资</t>
  </si>
  <si>
    <t>民银资本</t>
  </si>
  <si>
    <t>勇利投资</t>
  </si>
  <si>
    <t>伊登软件</t>
  </si>
  <si>
    <t>新晨动力</t>
  </si>
  <si>
    <t>正乾金融控股</t>
  </si>
  <si>
    <t>佳源服务</t>
  </si>
  <si>
    <t>CHINANEWENERGY</t>
  </si>
  <si>
    <t>智数科技集团</t>
  </si>
  <si>
    <t>金石资本集团</t>
  </si>
  <si>
    <t>奥思集团</t>
  </si>
  <si>
    <t>莹岚集团</t>
  </si>
  <si>
    <t>虎视传媒</t>
  </si>
  <si>
    <t>Z FIN</t>
  </si>
  <si>
    <t>信星集团</t>
  </si>
  <si>
    <t>汇彩控股</t>
  </si>
  <si>
    <t>唐宫中国</t>
  </si>
  <si>
    <t>胜龙国际</t>
  </si>
  <si>
    <t>澳能建设</t>
  </si>
  <si>
    <t>S.A.S. DRAGON</t>
  </si>
  <si>
    <t>可孚医疗</t>
  </si>
  <si>
    <t>天臣控股</t>
  </si>
  <si>
    <t>四威科技</t>
  </si>
  <si>
    <t>广南（集团）</t>
  </si>
  <si>
    <t>博维智慧</t>
  </si>
  <si>
    <t>中信资源</t>
  </si>
  <si>
    <t>同方泰德</t>
  </si>
  <si>
    <t>万保刚集团</t>
  </si>
  <si>
    <t>中原银行</t>
  </si>
  <si>
    <t>永义国际</t>
  </si>
  <si>
    <t>SINO HOTELS</t>
  </si>
  <si>
    <t>中渝置地</t>
  </si>
  <si>
    <t>中国投融资</t>
  </si>
  <si>
    <t>南南资源</t>
  </si>
  <si>
    <t>新矿资源</t>
  </si>
  <si>
    <t>金轮天地控股</t>
  </si>
  <si>
    <t>专业旅运</t>
  </si>
  <si>
    <t>乐动机器人</t>
  </si>
  <si>
    <t>宝龙地产</t>
  </si>
  <si>
    <t>TEAMWAY INTL GP</t>
  </si>
  <si>
    <t>青建国际</t>
  </si>
  <si>
    <t>NIRAKU</t>
  </si>
  <si>
    <t>山高新能源</t>
  </si>
  <si>
    <t>华油能源</t>
  </si>
  <si>
    <t>中国天瑞水泥</t>
  </si>
  <si>
    <t>ＴＡＴＡ健康</t>
  </si>
  <si>
    <t>中国光大绿色环保</t>
  </si>
  <si>
    <t>皓天财经集团</t>
  </si>
  <si>
    <t>蜡笔小新食品</t>
  </si>
  <si>
    <t>朗廷－ＳＳ</t>
  </si>
  <si>
    <t>佳明集团控股</t>
  </si>
  <si>
    <t>大唐环境</t>
  </si>
  <si>
    <t>香港信贷</t>
  </si>
  <si>
    <t>新传企划</t>
  </si>
  <si>
    <t>嘉士利集团</t>
  </si>
  <si>
    <t>中国汇融</t>
  </si>
  <si>
    <t>长安民生物流</t>
  </si>
  <si>
    <t>云能国际</t>
  </si>
  <si>
    <t>俊知集团</t>
  </si>
  <si>
    <t>德基科技控股</t>
  </si>
  <si>
    <t>汇力资源</t>
  </si>
  <si>
    <t>伟志控股</t>
  </si>
  <si>
    <t>翠华控股</t>
  </si>
  <si>
    <t>枫叶教育</t>
  </si>
  <si>
    <t>霭华押业信贷</t>
  </si>
  <si>
    <t>中国新城市</t>
  </si>
  <si>
    <t>华盛国际控股</t>
  </si>
  <si>
    <t>励时集团</t>
  </si>
  <si>
    <t>金涌投资</t>
  </si>
  <si>
    <t>透云生物</t>
  </si>
  <si>
    <t>瑞昌国际控股</t>
  </si>
  <si>
    <t>伟源控股</t>
  </si>
  <si>
    <t>上海先锋控股</t>
  </si>
  <si>
    <t>利华控股集团</t>
  </si>
  <si>
    <t>华虹宏力</t>
  </si>
  <si>
    <t>滉达富控股</t>
  </si>
  <si>
    <t>辉煌明天</t>
  </si>
  <si>
    <t>顺泰控股</t>
  </si>
  <si>
    <t>普华和顺</t>
  </si>
  <si>
    <t>新龙移动</t>
  </si>
  <si>
    <t>奥威控股</t>
  </si>
  <si>
    <t>国际家居零售</t>
  </si>
  <si>
    <t>中国金石</t>
  </si>
  <si>
    <t>安莉芳控股</t>
  </si>
  <si>
    <t>美捷汇控股</t>
  </si>
  <si>
    <t>强泰环保</t>
  </si>
  <si>
    <t>粤港湾智算</t>
  </si>
  <si>
    <t>碧瑶绿色集团</t>
  </si>
  <si>
    <t>锐信控股</t>
  </si>
  <si>
    <t>超智能控股</t>
  </si>
  <si>
    <t>清晰医疗</t>
  </si>
  <si>
    <t>交运燃气</t>
  </si>
  <si>
    <t>濠江机电</t>
  </si>
  <si>
    <t>隽思集团</t>
  </si>
  <si>
    <t>铸帝控股</t>
  </si>
  <si>
    <t>CTR HOLDINGS</t>
  </si>
  <si>
    <t>浦江中国</t>
  </si>
  <si>
    <t>盛诺集团</t>
  </si>
  <si>
    <t>盈健医疗</t>
  </si>
  <si>
    <t>川控股</t>
  </si>
  <si>
    <t>中国天保集团</t>
  </si>
  <si>
    <t>天任集团</t>
  </si>
  <si>
    <t>原生态牧业</t>
  </si>
  <si>
    <t>中国圣牧</t>
  </si>
  <si>
    <t>鹰辉物流</t>
  </si>
  <si>
    <t>鸿福堂</t>
  </si>
  <si>
    <t>新福港</t>
  </si>
  <si>
    <t>立德教育</t>
  </si>
  <si>
    <t>交个朋友控股</t>
  </si>
  <si>
    <t>万成集团股份</t>
  </si>
  <si>
    <t>迪诺斯环保</t>
  </si>
  <si>
    <t>科利实业控股</t>
  </si>
  <si>
    <t>扬科集团</t>
  </si>
  <si>
    <t>中泰期货</t>
  </si>
  <si>
    <t>C-LINK SQ</t>
  </si>
  <si>
    <t>佰金生命科学</t>
  </si>
  <si>
    <t>富一国际控股</t>
  </si>
  <si>
    <t>环联连讯</t>
  </si>
  <si>
    <t>金融街证券</t>
  </si>
  <si>
    <t>恩达集团控股</t>
  </si>
  <si>
    <t>竣球控股</t>
  </si>
  <si>
    <t>网誉科技</t>
  </si>
  <si>
    <t>思城控股</t>
  </si>
  <si>
    <t>百福控股</t>
  </si>
  <si>
    <t>GC CONSTRUCTION</t>
  </si>
  <si>
    <t>AI X TECH</t>
  </si>
  <si>
    <t>亚积邦租赁</t>
  </si>
  <si>
    <t>培力农本方</t>
  </si>
  <si>
    <t>欧科云链</t>
  </si>
  <si>
    <t>现恒建筑</t>
  </si>
  <si>
    <t>瑛泰医疗</t>
  </si>
  <si>
    <t>金融街物业</t>
  </si>
  <si>
    <t>驭势科技</t>
  </si>
  <si>
    <t>新世纪医疗</t>
  </si>
  <si>
    <t>方达控股</t>
  </si>
  <si>
    <t>京投交通科技</t>
  </si>
  <si>
    <t>瑞慈医疗</t>
  </si>
  <si>
    <t>乐氏国际控股</t>
  </si>
  <si>
    <t>中国派对文化</t>
  </si>
  <si>
    <t>煜荣集团</t>
  </si>
  <si>
    <t>中奥到家</t>
  </si>
  <si>
    <t>知行集团控股</t>
  </si>
  <si>
    <t>澳狮环球</t>
  </si>
  <si>
    <t>中盈盛达融资担保</t>
  </si>
  <si>
    <t>设计都会</t>
  </si>
  <si>
    <t>德莱建业</t>
  </si>
  <si>
    <t>IBI GROUP HLDGS</t>
  </si>
  <si>
    <t>广州农商银行</t>
  </si>
  <si>
    <t>BHCC HOLDING</t>
  </si>
  <si>
    <t>迈科管业</t>
  </si>
  <si>
    <t>建业建荣</t>
  </si>
  <si>
    <t>剑虹集团控股</t>
  </si>
  <si>
    <t>友联国际教育租赁</t>
  </si>
  <si>
    <t>成实外教育</t>
  </si>
  <si>
    <t>承达集团</t>
  </si>
  <si>
    <t>民生教育</t>
  </si>
  <si>
    <t>伟业控股</t>
  </si>
  <si>
    <t>信邦控股</t>
  </si>
  <si>
    <t>齐鲁高速</t>
  </si>
  <si>
    <t>汇鑫小贷</t>
  </si>
  <si>
    <t>天津银行</t>
  </si>
  <si>
    <t>大森控股</t>
  </si>
  <si>
    <t>进升集团控股</t>
  </si>
  <si>
    <t>华营建筑</t>
  </si>
  <si>
    <t>亲亲食品</t>
  </si>
  <si>
    <t>力鸿检验</t>
  </si>
  <si>
    <t>欣融国际</t>
  </si>
  <si>
    <t>畅捷通</t>
  </si>
  <si>
    <t>基石控股</t>
  </si>
  <si>
    <t>辰林教育</t>
  </si>
  <si>
    <t>纳泉能源科技</t>
  </si>
  <si>
    <t>２１世纪教育</t>
  </si>
  <si>
    <t>城建设计</t>
  </si>
  <si>
    <t>中关村科技租赁</t>
  </si>
  <si>
    <t>天星医疗</t>
  </si>
  <si>
    <t>新火集团</t>
  </si>
  <si>
    <t>永胜医疗</t>
  </si>
  <si>
    <t>协同通信</t>
  </si>
  <si>
    <t>奥邦建筑</t>
  </si>
  <si>
    <t>南方通信</t>
  </si>
  <si>
    <t>富盈环球集团</t>
  </si>
  <si>
    <t>域高国际控股</t>
  </si>
  <si>
    <t>力高集团</t>
  </si>
  <si>
    <t>海隆控股</t>
  </si>
  <si>
    <t>安保工程控股</t>
  </si>
  <si>
    <t>禹洲集团</t>
  </si>
  <si>
    <t>建成控股</t>
  </si>
  <si>
    <t>REF HOLDINGS</t>
  </si>
  <si>
    <t>上谕集团</t>
  </si>
  <si>
    <t>中国金属利用</t>
  </si>
  <si>
    <t>顺兴集团控股</t>
  </si>
  <si>
    <t>千循科技</t>
  </si>
  <si>
    <t>红星冷链</t>
  </si>
  <si>
    <t>现代中药集团</t>
  </si>
  <si>
    <t>HYGIEIA GROUP</t>
  </si>
  <si>
    <t>福森药业</t>
  </si>
  <si>
    <t>OKURA HOLDINGS</t>
  </si>
  <si>
    <t>亿仕登控股</t>
  </si>
  <si>
    <t>桦欣控股</t>
  </si>
  <si>
    <t>中国前沿科技集团</t>
  </si>
  <si>
    <t>迪米生活控股</t>
  </si>
  <si>
    <t>环球信贷集团</t>
  </si>
  <si>
    <t>天保能源</t>
  </si>
  <si>
    <t>华章科技</t>
  </si>
  <si>
    <t>瑞斯康集团</t>
  </si>
  <si>
    <t>澳门励骏</t>
  </si>
  <si>
    <t>杭品生活科技</t>
  </si>
  <si>
    <t>旷逸国际</t>
  </si>
  <si>
    <t>博耳电力</t>
  </si>
  <si>
    <t>华禧控股</t>
  </si>
  <si>
    <t>立基工程控股</t>
  </si>
  <si>
    <t>登辉控股</t>
  </si>
  <si>
    <t>璋利国际</t>
  </si>
  <si>
    <t>山东国信</t>
  </si>
  <si>
    <t>东光化工</t>
  </si>
  <si>
    <t>谊和股份</t>
  </si>
  <si>
    <t>宾仕国际</t>
  </si>
  <si>
    <t>致丰工业电子</t>
  </si>
  <si>
    <t>欧化</t>
  </si>
  <si>
    <t>四川能投发展</t>
  </si>
  <si>
    <t>智慧健康科技</t>
  </si>
  <si>
    <t>毛记葵涌</t>
  </si>
  <si>
    <t>澳优</t>
  </si>
  <si>
    <t>宏基集团控股</t>
  </si>
  <si>
    <t>中国通商集团</t>
  </si>
  <si>
    <t>普天通信集团</t>
  </si>
  <si>
    <t>FSM HOLDINGS</t>
  </si>
  <si>
    <t>中国技术集团</t>
  </si>
  <si>
    <t>HKE HOLDINGS</t>
  </si>
  <si>
    <t>河北建设</t>
  </si>
  <si>
    <t>正通汽车</t>
  </si>
  <si>
    <t>其利工业集团</t>
  </si>
  <si>
    <t>象兴国际</t>
  </si>
  <si>
    <t>易大宗</t>
  </si>
  <si>
    <t>亚洲实业集团</t>
  </si>
  <si>
    <t>齐屹科技</t>
  </si>
  <si>
    <t>新石文化</t>
  </si>
  <si>
    <t>成志控股</t>
  </si>
  <si>
    <t>HPC HOLDINGS</t>
  </si>
  <si>
    <t>万顺集团控股</t>
  </si>
  <si>
    <t>信源企业集团</t>
  </si>
  <si>
    <t>智算能建</t>
  </si>
  <si>
    <t>兑吧</t>
  </si>
  <si>
    <t>新城悦服务</t>
  </si>
  <si>
    <t>中国科教产业</t>
  </si>
  <si>
    <t>环球华商俱乐部</t>
  </si>
  <si>
    <t>博骏教育</t>
  </si>
  <si>
    <t>中油洁能控股</t>
  </si>
  <si>
    <t>希教国际控股</t>
  </si>
  <si>
    <t>TS WONDERS</t>
  </si>
  <si>
    <t>鸣鸣很忙</t>
  </si>
  <si>
    <t>新丰泰集团</t>
  </si>
  <si>
    <t>精英汇集团</t>
  </si>
  <si>
    <t>彩生活</t>
  </si>
  <si>
    <t>天辰生物－Ｂ</t>
  </si>
  <si>
    <t>荣尊国际控股</t>
  </si>
  <si>
    <t>国际商业数字技术</t>
  </si>
  <si>
    <t>成都高速</t>
  </si>
  <si>
    <t>铁建装备</t>
  </si>
  <si>
    <t>达力环保</t>
  </si>
  <si>
    <t>伟工控股</t>
  </si>
  <si>
    <t>亚东集团</t>
  </si>
  <si>
    <t>企展控股</t>
  </si>
  <si>
    <t>浦林成山</t>
  </si>
  <si>
    <t>晨鸣纸业</t>
  </si>
  <si>
    <t>合景泰富集团</t>
  </si>
  <si>
    <t>慕尚集团控股</t>
  </si>
  <si>
    <t>济丰包装</t>
  </si>
  <si>
    <t>中木国际</t>
  </si>
  <si>
    <t>华昱高速</t>
  </si>
  <si>
    <t>丰展控股</t>
  </si>
  <si>
    <t>卓珈控股</t>
  </si>
  <si>
    <t>完美医疗</t>
  </si>
  <si>
    <t>十方控股</t>
  </si>
  <si>
    <t>海天地悦旅</t>
  </si>
  <si>
    <t>快餐帝国</t>
  </si>
  <si>
    <t>维港环保科技</t>
  </si>
  <si>
    <t>德视佳</t>
  </si>
  <si>
    <t>鸿盛昌资源</t>
  </si>
  <si>
    <t>银杏教育</t>
  </si>
  <si>
    <t>春城热力</t>
  </si>
  <si>
    <t>中国万天控股</t>
  </si>
  <si>
    <t>依波路</t>
  </si>
  <si>
    <t>中国光大水务</t>
  </si>
  <si>
    <t>保宝龙科技</t>
  </si>
  <si>
    <t>中国龙天集团</t>
  </si>
  <si>
    <t>鹏高控股集团</t>
  </si>
  <si>
    <t>标准发展集团</t>
  </si>
  <si>
    <t>同方友友</t>
  </si>
  <si>
    <t>猫屎咖啡控股</t>
  </si>
  <si>
    <t>向中国际</t>
  </si>
  <si>
    <t>冠轈控股</t>
  </si>
  <si>
    <t>东曜药业－Ｂ</t>
  </si>
  <si>
    <t>南戈壁</t>
  </si>
  <si>
    <t>曦智科技－Ｐ</t>
  </si>
  <si>
    <t>兴合控股</t>
  </si>
  <si>
    <t>鑫苑服务</t>
  </si>
  <si>
    <t>美亨实业</t>
  </si>
  <si>
    <t>兴达国际</t>
  </si>
  <si>
    <t>中国智能交通</t>
  </si>
  <si>
    <t>飞扬集团</t>
  </si>
  <si>
    <t>JBB BUILDERS</t>
  </si>
  <si>
    <t>海通恒信</t>
  </si>
  <si>
    <t>火岩控股</t>
  </si>
  <si>
    <t>康特隆</t>
  </si>
  <si>
    <t>江西银行</t>
  </si>
  <si>
    <t>巨美集团</t>
  </si>
  <si>
    <t>旷世芳香</t>
  </si>
  <si>
    <t>久久王</t>
  </si>
  <si>
    <t>勋龙</t>
  </si>
  <si>
    <t>中漆集团</t>
  </si>
  <si>
    <t>元力控股</t>
  </si>
  <si>
    <t>嘉宏教育</t>
  </si>
  <si>
    <t>利特米</t>
  </si>
  <si>
    <t>佳辰控股</t>
  </si>
  <si>
    <t>珠江钢管</t>
  </si>
  <si>
    <t>CGII HLDGS</t>
  </si>
  <si>
    <t>烨星集团</t>
  </si>
  <si>
    <t>金石控股集团</t>
  </si>
  <si>
    <t>清科控股</t>
  </si>
  <si>
    <t>美皓集团</t>
  </si>
  <si>
    <t>优矩控股</t>
  </si>
  <si>
    <t>RIMBACO</t>
  </si>
  <si>
    <t>庄臣控股</t>
  </si>
  <si>
    <t>大人国际</t>
  </si>
  <si>
    <t>中聚投资</t>
  </si>
  <si>
    <t>TBKS HLDGS</t>
  </si>
  <si>
    <t>训修实业</t>
  </si>
  <si>
    <t>信恳智能</t>
  </si>
  <si>
    <t>兴纺控股</t>
  </si>
  <si>
    <t>IMAX CHINA</t>
  </si>
  <si>
    <t>弘阳服务</t>
  </si>
  <si>
    <t>天图投资</t>
  </si>
  <si>
    <t>新兴印刷</t>
  </si>
  <si>
    <t>安乐工程</t>
  </si>
  <si>
    <t>叙福楼集团</t>
  </si>
  <si>
    <t>天宝集团</t>
  </si>
  <si>
    <t>天鸽互动</t>
  </si>
  <si>
    <t>华夏控股</t>
  </si>
  <si>
    <t>泸州银行</t>
  </si>
  <si>
    <t>美高域</t>
  </si>
  <si>
    <t>彩客新能源</t>
  </si>
  <si>
    <t>BENG SOON MACH</t>
  </si>
  <si>
    <t>广合科技</t>
  </si>
  <si>
    <t>大洋集团</t>
  </si>
  <si>
    <t>雅仕维</t>
  </si>
  <si>
    <t>晨讯科技</t>
  </si>
  <si>
    <t>阳光纸业</t>
  </si>
  <si>
    <t>维信金科</t>
  </si>
  <si>
    <t>碧桂园</t>
  </si>
  <si>
    <t>凤凰卫视</t>
  </si>
  <si>
    <t>进腾集团</t>
  </si>
  <si>
    <t>阳光油砂</t>
  </si>
  <si>
    <t>沧海控股</t>
  </si>
  <si>
    <t>中国绿岛科技</t>
  </si>
  <si>
    <t>映美控股</t>
  </si>
  <si>
    <t>卡宾</t>
  </si>
  <si>
    <t>澳至尊</t>
  </si>
  <si>
    <t>时计宝</t>
  </si>
  <si>
    <t>荣阳实业</t>
  </si>
  <si>
    <t>奥克斯国际</t>
  </si>
  <si>
    <t>高维科技</t>
  </si>
  <si>
    <t>百奥家庭互动</t>
  </si>
  <si>
    <t>福禄控股</t>
  </si>
  <si>
    <t>德利机械</t>
  </si>
  <si>
    <t>第一服务控股</t>
  </si>
  <si>
    <t>K2 F&amp;B</t>
  </si>
  <si>
    <t>江苏创新</t>
  </si>
  <si>
    <t>捷荣国际控股</t>
  </si>
  <si>
    <t>康宁医院</t>
  </si>
  <si>
    <t>凯知乐国际</t>
  </si>
  <si>
    <t>稻草熊娱乐</t>
  </si>
  <si>
    <t>LEGION CONSO</t>
  </si>
  <si>
    <t>嘉泓物流</t>
  </si>
  <si>
    <t>云想科技</t>
  </si>
  <si>
    <t>誉燊丰控股</t>
  </si>
  <si>
    <t>利福中国</t>
  </si>
  <si>
    <t>医思健康</t>
  </si>
  <si>
    <t>甘肃银行</t>
  </si>
  <si>
    <t>荣万家</t>
  </si>
  <si>
    <t>贝克微</t>
  </si>
  <si>
    <t>苏新服务</t>
  </si>
  <si>
    <t>达丰设备</t>
  </si>
  <si>
    <t>建发物业</t>
  </si>
  <si>
    <t>乐普生物</t>
  </si>
  <si>
    <t>麦迪卫康</t>
  </si>
  <si>
    <t>微创心通－Ｂ</t>
  </si>
  <si>
    <t>远大住工</t>
  </si>
  <si>
    <t>领悦服务集团</t>
  </si>
  <si>
    <t>芯智控股</t>
  </si>
  <si>
    <t>天润云</t>
  </si>
  <si>
    <t>佳兆业美好</t>
  </si>
  <si>
    <t>贝康医疗－Ｂ</t>
  </si>
  <si>
    <t>赛迪顾问</t>
  </si>
  <si>
    <t>优趣汇控股</t>
  </si>
  <si>
    <t>百勤油服</t>
  </si>
  <si>
    <t>瑞科生物－Ｂ</t>
  </si>
  <si>
    <t>万宝盛华</t>
  </si>
  <si>
    <t>迈博药业－Ｂ</t>
  </si>
  <si>
    <t>天长集团</t>
  </si>
  <si>
    <t>百心安－Ｂ</t>
  </si>
  <si>
    <t>智欣集团控股</t>
  </si>
  <si>
    <t>泰坦能源技术</t>
  </si>
  <si>
    <t>嘉涛（香港）控股</t>
  </si>
  <si>
    <t>万景控股</t>
  </si>
  <si>
    <t>维珍妮</t>
  </si>
  <si>
    <t>脑洞科技</t>
  </si>
  <si>
    <t>康桥悦生活</t>
  </si>
  <si>
    <t>高鹏矿业</t>
  </si>
  <si>
    <t>德信服务集团</t>
  </si>
  <si>
    <t>堃博医疗－Ｂ</t>
  </si>
  <si>
    <t>创业集团控股</t>
  </si>
  <si>
    <t>雷士国际</t>
  </si>
  <si>
    <t>卡撒天娇</t>
  </si>
  <si>
    <t>老恒和酿造</t>
  </si>
  <si>
    <t>守益控股</t>
  </si>
  <si>
    <t>羚邦集团</t>
  </si>
  <si>
    <t>惠生工程</t>
  </si>
  <si>
    <t>中国石墨</t>
  </si>
  <si>
    <t>国微控股</t>
  </si>
  <si>
    <t>小黄鸭德盈</t>
  </si>
  <si>
    <t>鹰瞳科技－Ｂ</t>
  </si>
  <si>
    <t>华滋国际海洋</t>
  </si>
  <si>
    <t>环龙控股</t>
  </si>
  <si>
    <t>梁志天设计集团</t>
  </si>
  <si>
    <t>富石金融</t>
  </si>
  <si>
    <t>鸿承环保科技</t>
  </si>
  <si>
    <t>黎氏企业</t>
  </si>
  <si>
    <t>德商产投服务</t>
  </si>
  <si>
    <t>众安智慧生活</t>
  </si>
  <si>
    <t>雍禾医疗</t>
  </si>
  <si>
    <t>慧聪集团</t>
  </si>
  <si>
    <t>兴泸水务</t>
  </si>
  <si>
    <t>辰兴发展</t>
  </si>
  <si>
    <t>创美药业</t>
  </si>
  <si>
    <t>龙丰集团</t>
  </si>
  <si>
    <t>百本医护</t>
  </si>
  <si>
    <t>丰城控股</t>
  </si>
  <si>
    <t>润迈德－Ｂ</t>
  </si>
  <si>
    <t>都市丽人</t>
  </si>
  <si>
    <t>百宏实业</t>
  </si>
  <si>
    <t>锦兴国际控股</t>
  </si>
  <si>
    <t>时代环球集团</t>
  </si>
  <si>
    <t>ＬＯＮＧ投资集团</t>
  </si>
  <si>
    <t>味丹国际</t>
  </si>
  <si>
    <t>双财庄</t>
  </si>
  <si>
    <t>首都创投</t>
  </si>
  <si>
    <t>云康集团</t>
  </si>
  <si>
    <t>美瑞健康国际</t>
  </si>
  <si>
    <t>中国上城</t>
  </si>
  <si>
    <t>硕奥国际</t>
  </si>
  <si>
    <t>众诚能源</t>
  </si>
  <si>
    <t>昇柏控股</t>
  </si>
  <si>
    <t>友和集团</t>
  </si>
  <si>
    <t>东瑞制药</t>
  </si>
  <si>
    <t>数科集团</t>
  </si>
  <si>
    <t>东原仁知服务</t>
  </si>
  <si>
    <t>优品３６０</t>
  </si>
  <si>
    <t>中康科技控股</t>
  </si>
  <si>
    <t>金川国际</t>
  </si>
  <si>
    <t>鹰美</t>
  </si>
  <si>
    <t>力高健康生活</t>
  </si>
  <si>
    <t>创联控股</t>
  </si>
  <si>
    <t>伟立控股</t>
  </si>
  <si>
    <t>博奇环保</t>
  </si>
  <si>
    <t>蚬壳电业</t>
  </si>
  <si>
    <t>ＴＯＭ集团</t>
  </si>
  <si>
    <t>知乎－Ｗ</t>
  </si>
  <si>
    <t>涂鸦智能－Ｗ</t>
  </si>
  <si>
    <t>玄武云</t>
  </si>
  <si>
    <t>华芢生物－Ｂ</t>
  </si>
  <si>
    <t>力盟科技</t>
  </si>
  <si>
    <t>高视医疗</t>
  </si>
  <si>
    <t>洲际船务</t>
  </si>
  <si>
    <t>梅斯健康</t>
  </si>
  <si>
    <t>易点云</t>
  </si>
  <si>
    <t>子不语</t>
  </si>
  <si>
    <t>嘉创地产</t>
  </si>
  <si>
    <t>润歌互动</t>
  </si>
  <si>
    <t>澳亚集团</t>
  </si>
  <si>
    <t>GUANZE MEDICAL</t>
  </si>
  <si>
    <t>凌雄科技</t>
  </si>
  <si>
    <t>中宝新材</t>
  </si>
  <si>
    <t>迷策略</t>
  </si>
  <si>
    <t>淮北绿金股份</t>
  </si>
  <si>
    <t>美中嘉和</t>
  </si>
  <si>
    <t>润华服务</t>
  </si>
  <si>
    <t>步阳国际</t>
  </si>
  <si>
    <t>望尘科技控股</t>
  </si>
  <si>
    <t>升能集团（新）</t>
  </si>
  <si>
    <t>胜宏科技</t>
  </si>
  <si>
    <t>天聚地合</t>
  </si>
  <si>
    <t>绿竹生物－Ｂ</t>
  </si>
  <si>
    <t>双良睿能</t>
  </si>
  <si>
    <t>维天运通</t>
  </si>
  <si>
    <t>Ｋ　ＣＡＳＨ集团</t>
  </si>
  <si>
    <t>集海黄金</t>
  </si>
  <si>
    <t>迈威生物－Ｂ</t>
  </si>
  <si>
    <t>友芝友生物－Ｂ</t>
  </si>
  <si>
    <t>富景中国控股</t>
  </si>
  <si>
    <t>佛朗斯股份</t>
  </si>
  <si>
    <t>迈越科技</t>
  </si>
  <si>
    <t>金源氢化</t>
  </si>
  <si>
    <t>中深建业</t>
  </si>
  <si>
    <t>ＥＤＡ集团控股</t>
  </si>
  <si>
    <t>圣贝拉集团</t>
  </si>
  <si>
    <t>君圣泰医药－Ｂ</t>
  </si>
  <si>
    <t>云工场</t>
  </si>
  <si>
    <t>智谱</t>
  </si>
  <si>
    <t>天津建发</t>
  </si>
  <si>
    <t>汽车之家－Ｓ</t>
  </si>
  <si>
    <t>傲基股份</t>
  </si>
  <si>
    <t>山西安装</t>
  </si>
  <si>
    <t>德适－Ｂ</t>
  </si>
  <si>
    <t>尚晋国际控股</t>
  </si>
  <si>
    <t>泓盈城市服务</t>
  </si>
  <si>
    <t>纽曼思</t>
  </si>
  <si>
    <t>广联科技控股</t>
  </si>
  <si>
    <t>乐思集团</t>
  </si>
  <si>
    <t>中赣通信</t>
  </si>
  <si>
    <t>智汇矿业</t>
  </si>
  <si>
    <t>首钢朗泽</t>
  </si>
  <si>
    <t>晋商银行</t>
  </si>
  <si>
    <t>海螺材料科技</t>
  </si>
  <si>
    <t>维昇药业－Ｂ</t>
  </si>
  <si>
    <t>华昊中天医药－Ｂ</t>
  </si>
  <si>
    <t>九源基因</t>
  </si>
  <si>
    <t>七牛智能</t>
  </si>
  <si>
    <t>舒宝国际</t>
  </si>
  <si>
    <t>赛目科技</t>
  </si>
  <si>
    <t>新琪安</t>
  </si>
  <si>
    <t>太美医疗科技</t>
  </si>
  <si>
    <t>明基医院</t>
  </si>
  <si>
    <t>梦金园</t>
  </si>
  <si>
    <t>草姬集团</t>
  </si>
  <si>
    <t>宜宾银行</t>
  </si>
  <si>
    <t>讯众通信</t>
  </si>
  <si>
    <t>METALIGHT</t>
  </si>
  <si>
    <t>汇舸环保</t>
  </si>
  <si>
    <t>手回集团</t>
  </si>
  <si>
    <t>香港黄金产业集团</t>
  </si>
  <si>
    <t>泽景股份</t>
  </si>
  <si>
    <t>雅各臣科研制药</t>
  </si>
  <si>
    <t>诺比侃</t>
  </si>
  <si>
    <t>优乐赛共享</t>
  </si>
  <si>
    <t>大众口腔</t>
  </si>
  <si>
    <t>果下科技</t>
  </si>
  <si>
    <t>林清轩</t>
  </si>
  <si>
    <t>宝济药业－Ｂ</t>
  </si>
  <si>
    <t>禅游科技</t>
  </si>
  <si>
    <t>轻松健康</t>
  </si>
  <si>
    <t>应力控股</t>
  </si>
  <si>
    <t>图达通</t>
  </si>
  <si>
    <t>百德国际</t>
  </si>
  <si>
    <t>美联股份</t>
  </si>
  <si>
    <t>精锋医疗－Ｂ</t>
  </si>
  <si>
    <t>纳芯微</t>
  </si>
  <si>
    <t>卓正医疗</t>
  </si>
  <si>
    <t>天虹国际集团</t>
  </si>
  <si>
    <t>创陞控股</t>
  </si>
  <si>
    <t>润利海事</t>
  </si>
  <si>
    <t>卓越睿新</t>
  </si>
  <si>
    <t>南华期货股份</t>
  </si>
  <si>
    <t>兆威机电</t>
  </si>
  <si>
    <t>新明中国（新）</t>
  </si>
  <si>
    <t>格林国际控股</t>
  </si>
  <si>
    <t>国民技术</t>
  </si>
  <si>
    <t>海致科技集团</t>
  </si>
  <si>
    <t>牧原股份</t>
  </si>
  <si>
    <t>埃斯顿</t>
  </si>
  <si>
    <t>乐欣户外</t>
  </si>
  <si>
    <t>深演智能</t>
  </si>
  <si>
    <t>瀚天天成</t>
  </si>
  <si>
    <t>凯乐士科技</t>
  </si>
  <si>
    <t>国恩科技</t>
  </si>
  <si>
    <t>中国新华教育</t>
  </si>
  <si>
    <t>远大中国</t>
  </si>
  <si>
    <t>高丰集团控股</t>
  </si>
  <si>
    <t>晶门半导体</t>
  </si>
  <si>
    <t>武汉有机</t>
  </si>
  <si>
    <t>金至尊集团</t>
  </si>
  <si>
    <t>彼岸控股</t>
  </si>
  <si>
    <t>滨海投资</t>
  </si>
  <si>
    <t>万城控股</t>
  </si>
  <si>
    <t>盛禾生物－Ｂ</t>
  </si>
  <si>
    <t>升能集团（旧）</t>
  </si>
  <si>
    <t>京玖康疗（旧）</t>
  </si>
  <si>
    <t>中国金融国际－旧</t>
  </si>
  <si>
    <t>远见控股（旧）</t>
  </si>
  <si>
    <t>新明中国（旧）</t>
  </si>
  <si>
    <t>亚洲联网（一万）</t>
  </si>
  <si>
    <t>大族数控</t>
  </si>
  <si>
    <t>美格智能</t>
  </si>
  <si>
    <t>长光辰芯</t>
  </si>
  <si>
    <t>华勤技术</t>
  </si>
  <si>
    <t>精技集团</t>
  </si>
  <si>
    <t>巨涛海洋石油服务</t>
  </si>
  <si>
    <t>云英谷科技</t>
  </si>
  <si>
    <t>金邦达宝嘉</t>
  </si>
  <si>
    <t>迅策</t>
  </si>
  <si>
    <t>中国波顿</t>
  </si>
  <si>
    <t>中科集团控股</t>
  </si>
  <si>
    <t>永嘉集团</t>
  </si>
  <si>
    <t>交银国际</t>
  </si>
  <si>
    <t>中生联合</t>
  </si>
  <si>
    <t>中国鹏飞集团</t>
  </si>
  <si>
    <t>飞速创新</t>
  </si>
  <si>
    <t>正业国际</t>
  </si>
  <si>
    <t>华侨城（亚洲）</t>
  </si>
  <si>
    <t>百盛集团</t>
  </si>
  <si>
    <t>翰思艾泰－Ｂ</t>
  </si>
  <si>
    <t>雅居乐集团</t>
  </si>
  <si>
    <t>创想三维</t>
  </si>
  <si>
    <t>亨得利</t>
  </si>
  <si>
    <t>满贯集团</t>
  </si>
  <si>
    <t>吉星新能源</t>
  </si>
  <si>
    <t>华鼎控股</t>
  </si>
  <si>
    <t>粤运交通</t>
  </si>
  <si>
    <t>鲁大师</t>
  </si>
  <si>
    <t>恒达集团控股</t>
  </si>
  <si>
    <t>中国金融发展</t>
  </si>
  <si>
    <t>傅里叶</t>
  </si>
  <si>
    <t>启明东方控股</t>
  </si>
  <si>
    <t>仁恒实业控股</t>
  </si>
  <si>
    <t>金浔资源</t>
  </si>
  <si>
    <t>新希望服务</t>
  </si>
  <si>
    <t>奇富科技－Ｓ</t>
  </si>
  <si>
    <t>星悦康旅</t>
  </si>
  <si>
    <t>祈福生活服务</t>
  </si>
  <si>
    <t>莱蒙国际</t>
  </si>
  <si>
    <t>康华医疗</t>
  </si>
  <si>
    <t>英矽智能</t>
  </si>
  <si>
    <t>光大永年</t>
  </si>
  <si>
    <t>映宇宙</t>
  </si>
  <si>
    <t>世界数字经济产业</t>
  </si>
  <si>
    <t>北控城市资源</t>
  </si>
  <si>
    <t>中智药业</t>
  </si>
  <si>
    <t>滇池水务</t>
  </si>
  <si>
    <t>银盛数惠</t>
  </si>
  <si>
    <t>中国织材控股</t>
  </si>
  <si>
    <t>罕王黄金</t>
  </si>
  <si>
    <t>御佳控股</t>
  </si>
  <si>
    <t>家乡互动</t>
  </si>
  <si>
    <t>宝胜国际</t>
  </si>
  <si>
    <t>ＫＦＭ金德</t>
  </si>
  <si>
    <t>三和建筑集团</t>
  </si>
  <si>
    <t>明辉国际</t>
  </si>
  <si>
    <t>童园国际</t>
  </si>
  <si>
    <t>中国淀粉</t>
  </si>
  <si>
    <t>ＥＰＳ创健科技</t>
  </si>
  <si>
    <t>弘和仁爱医疗</t>
  </si>
  <si>
    <t>VICON HOLDINGS</t>
  </si>
  <si>
    <t>希迪智驾</t>
  </si>
  <si>
    <t>天彩控股</t>
  </si>
  <si>
    <t>康健国际医疗</t>
  </si>
  <si>
    <t>HASHKEY HLDGS</t>
  </si>
  <si>
    <t>易纬集团</t>
  </si>
  <si>
    <t>瀚华金控</t>
  </si>
  <si>
    <t>中金公司</t>
  </si>
  <si>
    <t>合景悠活</t>
  </si>
  <si>
    <t>ＬＦＧ投资控股</t>
  </si>
  <si>
    <t>融众金融</t>
  </si>
  <si>
    <t>兆易创新</t>
  </si>
  <si>
    <t>电讯首科</t>
  </si>
  <si>
    <t>大成食品</t>
  </si>
  <si>
    <t>电讯数码控股</t>
  </si>
  <si>
    <t>光丽科技</t>
  </si>
  <si>
    <t>信越控股</t>
  </si>
  <si>
    <t>兴证国际</t>
  </si>
  <si>
    <t>智中国际</t>
  </si>
  <si>
    <t>荣智控股</t>
  </si>
  <si>
    <t>壁仞科技</t>
  </si>
  <si>
    <t>环宇物流（亚洲）</t>
  </si>
  <si>
    <t>鸿腾精密</t>
  </si>
  <si>
    <t>和泓服务</t>
  </si>
  <si>
    <t>比特策略</t>
  </si>
  <si>
    <t>日照港裕廊</t>
  </si>
  <si>
    <t>奥星生命科技</t>
  </si>
  <si>
    <t>天源集团</t>
  </si>
  <si>
    <t>圆通国际快递</t>
  </si>
  <si>
    <t>维太创科</t>
  </si>
  <si>
    <t>哈尔滨银行</t>
  </si>
  <si>
    <t>彭顺国际</t>
  </si>
  <si>
    <t>迪信通</t>
  </si>
  <si>
    <t>九江银行</t>
  </si>
  <si>
    <t>泰林科建</t>
  </si>
  <si>
    <t>贵州银行</t>
  </si>
  <si>
    <t>FAST RETAIL-DRS</t>
  </si>
  <si>
    <t>卧安机器人</t>
  </si>
  <si>
    <t>飞天云动</t>
  </si>
  <si>
    <t>兆科眼科－Ｂ</t>
  </si>
  <si>
    <t>陆控</t>
  </si>
  <si>
    <t>创胜集团医药－Ｂ</t>
  </si>
  <si>
    <t>青瓷游戏</t>
  </si>
  <si>
    <t>极视角</t>
  </si>
  <si>
    <t>瑞尔集团</t>
  </si>
  <si>
    <t>五一视界</t>
  </si>
  <si>
    <t>思格新能</t>
  </si>
  <si>
    <t>百望股份</t>
  </si>
  <si>
    <t>溜溜梅</t>
  </si>
  <si>
    <t>艾美疫苗</t>
  </si>
  <si>
    <t>湖州燃气</t>
  </si>
  <si>
    <t>国际永胜集团</t>
  </si>
  <si>
    <t>美因基因</t>
  </si>
  <si>
    <t>星盛商业</t>
  </si>
  <si>
    <t>SENASIC</t>
  </si>
  <si>
    <t>找钢网－Ｗ</t>
  </si>
  <si>
    <t>远洋服务</t>
  </si>
  <si>
    <t>范式智能</t>
  </si>
  <si>
    <t>诺亚控股</t>
  </si>
  <si>
    <t>多想云</t>
  </si>
  <si>
    <t>星空华文</t>
  </si>
  <si>
    <t>金茂源环保</t>
  </si>
  <si>
    <t>澜起科技</t>
  </si>
  <si>
    <t>商米科技－Ｗ</t>
  </si>
  <si>
    <t>太兴集团</t>
  </si>
  <si>
    <t>永顺控股香港</t>
  </si>
  <si>
    <t>瑞港建设</t>
  </si>
  <si>
    <t>友谊时光</t>
  </si>
  <si>
    <t>科劲国际</t>
  </si>
  <si>
    <t>龙升集团控股</t>
  </si>
  <si>
    <t>华众车载</t>
  </si>
  <si>
    <t>兴科蓉医药</t>
  </si>
  <si>
    <t>盈利时</t>
  </si>
  <si>
    <t>亚盛医药</t>
  </si>
  <si>
    <t>本间高尔夫</t>
  </si>
  <si>
    <t>指尖悦动</t>
  </si>
  <si>
    <t>天福</t>
  </si>
  <si>
    <t>翼菲科技</t>
  </si>
  <si>
    <t>丹诺医药－Ｂ</t>
  </si>
  <si>
    <t>东瀛游</t>
  </si>
  <si>
    <t>华泰证券</t>
  </si>
  <si>
    <t>DYNAM JAPAN</t>
  </si>
  <si>
    <t>康利国际控股</t>
  </si>
  <si>
    <t>衍生集团</t>
  </si>
  <si>
    <t>中国铝罐</t>
  </si>
  <si>
    <t>联众</t>
  </si>
  <si>
    <t>宏光半导体</t>
  </si>
  <si>
    <t>百得利控股</t>
  </si>
  <si>
    <t>澜沧古茶</t>
  </si>
  <si>
    <t>华南职业教育</t>
  </si>
  <si>
    <t>奇士达</t>
  </si>
  <si>
    <t>人瑞人才</t>
  </si>
  <si>
    <t>康沣生物－Ｂ</t>
  </si>
  <si>
    <t>万马控股</t>
  </si>
  <si>
    <t>新娱科控股</t>
  </si>
  <si>
    <t>瑞博生物－Ｂ</t>
  </si>
  <si>
    <t>美佳音控股</t>
  </si>
  <si>
    <t>长久股份</t>
  </si>
  <si>
    <t>中国万桐园</t>
  </si>
  <si>
    <t>港龙中国地产</t>
  </si>
  <si>
    <t>永泰生物－Ｂ</t>
  </si>
  <si>
    <t>科伦博泰生物</t>
  </si>
  <si>
    <t>亿腾嘉和</t>
  </si>
  <si>
    <t>领地控股</t>
  </si>
  <si>
    <t>岚图汽车</t>
  </si>
  <si>
    <t>京东工业</t>
  </si>
  <si>
    <t>英派药业－Ｂ</t>
  </si>
  <si>
    <t>剂泰科技－Ｐ</t>
  </si>
  <si>
    <t>拓璞数控</t>
  </si>
  <si>
    <t>环球战略集团</t>
  </si>
  <si>
    <t>汇隆控股</t>
  </si>
  <si>
    <t>邝文记</t>
  </si>
  <si>
    <t>朗华国际集团</t>
  </si>
  <si>
    <t>中投金融科技集团</t>
  </si>
  <si>
    <t>易通讯集团</t>
  </si>
  <si>
    <t>中国生物科技服务</t>
  </si>
  <si>
    <t>快意智能</t>
  </si>
  <si>
    <t>中微智码</t>
  </si>
  <si>
    <t>吉林长龙药业</t>
  </si>
  <si>
    <t>城市酷选</t>
  </si>
  <si>
    <t>麦迪森控股（新）</t>
  </si>
  <si>
    <t>俊盟国际</t>
  </si>
  <si>
    <t>品创控股</t>
  </si>
  <si>
    <t>侨洋国际控股</t>
  </si>
  <si>
    <t>水发兴业新材料</t>
  </si>
  <si>
    <t>北亚策略</t>
  </si>
  <si>
    <t>中国三三集团</t>
  </si>
  <si>
    <t>瓦普思瑞元宇宙</t>
  </si>
  <si>
    <t>北大青鸟环宇</t>
  </si>
  <si>
    <t>名科国际</t>
  </si>
  <si>
    <t>细叶榕科技</t>
  </si>
  <si>
    <t>时腾科技</t>
  </si>
  <si>
    <t>清大东方</t>
  </si>
  <si>
    <t>国农金融投资</t>
  </si>
  <si>
    <t>中新控股</t>
  </si>
  <si>
    <t>洪桥集团</t>
  </si>
  <si>
    <t>怡园酒业</t>
  </si>
  <si>
    <t>汇思太平洋</t>
  </si>
  <si>
    <t>国药科技股份</t>
  </si>
  <si>
    <t>中国再生医学</t>
  </si>
  <si>
    <t>GOLDWAY EDU</t>
  </si>
  <si>
    <t>港银控股</t>
  </si>
  <si>
    <t>曼妠</t>
  </si>
  <si>
    <t>骏杰集团控股</t>
  </si>
  <si>
    <t>泰达生物</t>
  </si>
  <si>
    <t>传承教育集团</t>
  </si>
  <si>
    <t>毅高国际控股</t>
  </si>
  <si>
    <t>比高集团</t>
  </si>
  <si>
    <t>高裕金融</t>
  </si>
  <si>
    <t>紫元元</t>
  </si>
  <si>
    <t>中国医疗集团</t>
  </si>
  <si>
    <t>海天天线</t>
  </si>
  <si>
    <t>未来数据集团</t>
  </si>
  <si>
    <t>华星控股</t>
  </si>
  <si>
    <t>首都金融控股</t>
  </si>
  <si>
    <t>中华燃气</t>
  </si>
  <si>
    <t>中生北控生物科技</t>
  </si>
  <si>
    <t>倍升教育科技</t>
  </si>
  <si>
    <t>中国煤层气</t>
  </si>
  <si>
    <t>亚博科技控股</t>
  </si>
  <si>
    <t>中国金典集团</t>
  </si>
  <si>
    <t>中食民安</t>
  </si>
  <si>
    <t>VSING</t>
  </si>
  <si>
    <t>盐城港</t>
  </si>
  <si>
    <t>中国红包</t>
  </si>
  <si>
    <t>泰锦控股</t>
  </si>
  <si>
    <t>同景新能源</t>
  </si>
  <si>
    <t>滨海泰达物流</t>
  </si>
  <si>
    <t>硅鑫集团</t>
  </si>
  <si>
    <t>立桥证券控股</t>
  </si>
  <si>
    <t>简朴新生活</t>
  </si>
  <si>
    <t>亦辰集团</t>
  </si>
  <si>
    <t>中国创意控股</t>
  </si>
  <si>
    <t>智升集团控股</t>
  </si>
  <si>
    <t>尝高美集团</t>
  </si>
  <si>
    <t>君百延集团</t>
  </si>
  <si>
    <t>数盟资本</t>
  </si>
  <si>
    <t>盈证国际</t>
  </si>
  <si>
    <t>中显智能齐家控股</t>
  </si>
  <si>
    <t>亚洲先锋娱乐</t>
  </si>
  <si>
    <t>德丰宿来</t>
  </si>
  <si>
    <t>K W NELSON GP</t>
  </si>
  <si>
    <t>傲迪玛汽车</t>
  </si>
  <si>
    <t>雅居投资控股</t>
  </si>
  <si>
    <t>万顺瑞强集团</t>
  </si>
  <si>
    <t>浩柏国际</t>
  </si>
  <si>
    <t>德宝集团控股</t>
  </si>
  <si>
    <t>新百利融资</t>
  </si>
  <si>
    <t>环球印馆</t>
  </si>
  <si>
    <t>钜京控股</t>
  </si>
  <si>
    <t>基地锦标集团</t>
  </si>
  <si>
    <t>飞霓控股</t>
  </si>
  <si>
    <t>盛龙锦秀国际</t>
  </si>
  <si>
    <t>名仕快相</t>
  </si>
  <si>
    <t>骏码半导体</t>
  </si>
  <si>
    <t>COOL LINK</t>
  </si>
  <si>
    <t>1957 &amp; CO.</t>
  </si>
  <si>
    <t>庄皇集团公司</t>
  </si>
  <si>
    <t>远航港口</t>
  </si>
  <si>
    <t>爱世纪集团</t>
  </si>
  <si>
    <t>威扬酒业控股</t>
  </si>
  <si>
    <t>凯富善集团控股</t>
  </si>
  <si>
    <t>中盈国际</t>
  </si>
  <si>
    <t>智云国际控股</t>
  </si>
  <si>
    <t>百应控股</t>
  </si>
  <si>
    <t>聚利宝控股</t>
  </si>
  <si>
    <t>优博控股</t>
  </si>
  <si>
    <t>荧德控股</t>
  </si>
  <si>
    <t>宝燵控股</t>
  </si>
  <si>
    <t>亮晴控股</t>
  </si>
  <si>
    <t>BBSB INTL</t>
  </si>
  <si>
    <t>愉悦集团</t>
  </si>
  <si>
    <t>元续科技</t>
  </si>
  <si>
    <t>比特元宇宙</t>
  </si>
  <si>
    <t>中国宏光</t>
  </si>
  <si>
    <t>TRUE PARTNER</t>
  </si>
  <si>
    <t>瀛海集团</t>
  </si>
  <si>
    <t>新纽科技</t>
  </si>
  <si>
    <t>龙旗科技</t>
  </si>
  <si>
    <t>东软睿新集团</t>
  </si>
  <si>
    <t>法拉帝</t>
  </si>
  <si>
    <t>荣利营造</t>
  </si>
  <si>
    <t>国鸿氢能</t>
  </si>
  <si>
    <t>威海银行</t>
  </si>
  <si>
    <t>如祺出行</t>
  </si>
  <si>
    <t>熙康云医院</t>
  </si>
  <si>
    <t>金泰丰国际控股</t>
  </si>
  <si>
    <t>柠萌影视</t>
  </si>
  <si>
    <t>小鹏集团－Ｗ</t>
  </si>
  <si>
    <t>海伦司</t>
  </si>
  <si>
    <t>大洋环球控股</t>
  </si>
  <si>
    <t>容大科技</t>
  </si>
  <si>
    <t>永联丰控股</t>
  </si>
  <si>
    <t>叮当健康</t>
  </si>
  <si>
    <t>东莞农商银行</t>
  </si>
  <si>
    <t>比优集团</t>
  </si>
  <si>
    <t>天数智芯</t>
  </si>
  <si>
    <t>宏力医疗管理</t>
  </si>
  <si>
    <t>嘉兴燃气</t>
  </si>
  <si>
    <t>宝龙商业</t>
  </si>
  <si>
    <t>智勤控股</t>
  </si>
  <si>
    <t>兴业物联</t>
  </si>
  <si>
    <t>丽年国际</t>
  </si>
  <si>
    <t>艾德韦宣集团</t>
  </si>
  <si>
    <t>时代邻里</t>
  </si>
  <si>
    <t>GHW INTL</t>
  </si>
  <si>
    <t>华和控股</t>
  </si>
  <si>
    <t>智云健康</t>
  </si>
  <si>
    <t>康圣环球</t>
  </si>
  <si>
    <t>高科桥</t>
  </si>
  <si>
    <t>东鹏饮料</t>
  </si>
  <si>
    <t>沃尔核材</t>
  </si>
  <si>
    <t>大山教育</t>
  </si>
  <si>
    <t>祖龙娱乐</t>
  </si>
  <si>
    <t>宝尊电商－Ｗ</t>
  </si>
  <si>
    <t>光荣控股</t>
  </si>
  <si>
    <t>新鸿基地产－Ｒ</t>
  </si>
  <si>
    <t>商汤－ＷＲ</t>
  </si>
  <si>
    <t>吉利汽车－Ｒ</t>
  </si>
  <si>
    <t>华润啤酒－Ｒ</t>
  </si>
  <si>
    <t>香港交易所－Ｒ</t>
  </si>
  <si>
    <t>腾讯控股－Ｒ</t>
  </si>
  <si>
    <t>湾区发展－Ｒ</t>
  </si>
  <si>
    <t>中国海洋石油－Ｒ</t>
  </si>
  <si>
    <t>中国移动－Ｒ</t>
  </si>
  <si>
    <t>联想集团－Ｒ</t>
  </si>
  <si>
    <t>快手－ＷＲ</t>
  </si>
  <si>
    <t>比亚迪股份－Ｒ</t>
  </si>
  <si>
    <t>友邦保险－Ｒ</t>
  </si>
  <si>
    <t>小米集团－ＷＲ</t>
  </si>
  <si>
    <t>安踏体育－Ｒ</t>
  </si>
  <si>
    <t>中国平安－Ｒ</t>
  </si>
  <si>
    <t>李宁－Ｒ</t>
  </si>
  <si>
    <t>长城汽车－Ｒ</t>
  </si>
  <si>
    <t>中银香港－Ｒ</t>
  </si>
  <si>
    <t>美团－ＷＲ</t>
  </si>
  <si>
    <t>京东健康－Ｒ</t>
  </si>
  <si>
    <t>京东集团－ＳＷＲ</t>
  </si>
  <si>
    <t>百度集团－ＳＷＲ</t>
  </si>
  <si>
    <t>阿里巴巴－ＷＲ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</si>
</sst>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21031-391B-42E6-B848-278F901287AA}">
  <dimension ref="A1:C2216"/>
  <sheetViews>
    <sheetView tabSelected="1" topLeftCell="A2189" workbookViewId="0">
      <selection activeCell="N2208" sqref="N2208"/>
    </sheetView>
  </sheetViews>
  <sheetFormatPr defaultRowHeight="14.25" x14ac:dyDescent="0.2"/>
  <cols>
    <col min="2" max="2" width="18.375" bestFit="1" customWidth="1"/>
    <col min="3" max="3" width="11" bestFit="1" customWidth="1"/>
  </cols>
  <sheetData>
    <row r="1" spans="1:3" x14ac:dyDescent="0.2">
      <c r="A1" t="s">
        <v>0</v>
      </c>
      <c r="B1" t="s">
        <v>281</v>
      </c>
      <c r="C1" t="s">
        <v>1</v>
      </c>
    </row>
    <row r="2" spans="1:3" x14ac:dyDescent="0.2">
      <c r="A2" t="str">
        <f>"00001"</f>
        <v>00001</v>
      </c>
      <c r="B2" t="s">
        <v>282</v>
      </c>
      <c r="C2" t="s">
        <v>134</v>
      </c>
    </row>
    <row r="3" spans="1:3" x14ac:dyDescent="0.2">
      <c r="A3" t="str">
        <f>"00002"</f>
        <v>00002</v>
      </c>
      <c r="B3" t="s">
        <v>283</v>
      </c>
      <c r="C3" t="s">
        <v>208</v>
      </c>
    </row>
    <row r="4" spans="1:3" x14ac:dyDescent="0.2">
      <c r="A4" t="str">
        <f>"00003"</f>
        <v>00003</v>
      </c>
      <c r="B4" t="s">
        <v>284</v>
      </c>
      <c r="C4" t="s">
        <v>208</v>
      </c>
    </row>
    <row r="5" spans="1:3" x14ac:dyDescent="0.2">
      <c r="A5" t="str">
        <f>"00004"</f>
        <v>00004</v>
      </c>
      <c r="B5" t="s">
        <v>723</v>
      </c>
      <c r="C5" t="s">
        <v>163</v>
      </c>
    </row>
    <row r="6" spans="1:3" x14ac:dyDescent="0.2">
      <c r="A6" t="str">
        <f>"00005"</f>
        <v>00005</v>
      </c>
      <c r="B6" t="s">
        <v>285</v>
      </c>
      <c r="C6" t="s">
        <v>196</v>
      </c>
    </row>
    <row r="7" spans="1:3" x14ac:dyDescent="0.2">
      <c r="A7" t="str">
        <f>"00006"</f>
        <v>00006</v>
      </c>
      <c r="B7" t="s">
        <v>286</v>
      </c>
      <c r="C7" t="s">
        <v>208</v>
      </c>
    </row>
    <row r="8" spans="1:3" x14ac:dyDescent="0.2">
      <c r="A8" t="str">
        <f>"00008"</f>
        <v>00008</v>
      </c>
      <c r="B8" t="s">
        <v>287</v>
      </c>
      <c r="C8" t="s">
        <v>215</v>
      </c>
    </row>
    <row r="9" spans="1:3" x14ac:dyDescent="0.2">
      <c r="A9" t="str">
        <f>"00010"</f>
        <v>00010</v>
      </c>
      <c r="B9" t="s">
        <v>288</v>
      </c>
      <c r="C9" t="s">
        <v>163</v>
      </c>
    </row>
    <row r="10" spans="1:3" x14ac:dyDescent="0.2">
      <c r="A10" t="str">
        <f>"00012"</f>
        <v>00012</v>
      </c>
      <c r="B10" t="s">
        <v>289</v>
      </c>
      <c r="C10" t="s">
        <v>163</v>
      </c>
    </row>
    <row r="11" spans="1:3" x14ac:dyDescent="0.2">
      <c r="A11" t="str">
        <f>"00013"</f>
        <v>00013</v>
      </c>
      <c r="B11" t="s">
        <v>290</v>
      </c>
      <c r="C11" t="s">
        <v>25</v>
      </c>
    </row>
    <row r="12" spans="1:3" x14ac:dyDescent="0.2">
      <c r="A12" t="str">
        <f>"00014"</f>
        <v>00014</v>
      </c>
      <c r="B12" t="s">
        <v>724</v>
      </c>
      <c r="C12" t="s">
        <v>163</v>
      </c>
    </row>
    <row r="13" spans="1:3" x14ac:dyDescent="0.2">
      <c r="A13" t="str">
        <f>"00016"</f>
        <v>00016</v>
      </c>
      <c r="B13" t="s">
        <v>291</v>
      </c>
      <c r="C13" t="s">
        <v>163</v>
      </c>
    </row>
    <row r="14" spans="1:3" x14ac:dyDescent="0.2">
      <c r="A14" t="str">
        <f>"00017"</f>
        <v>00017</v>
      </c>
      <c r="B14" t="s">
        <v>725</v>
      </c>
      <c r="C14" t="s">
        <v>163</v>
      </c>
    </row>
    <row r="15" spans="1:3" x14ac:dyDescent="0.2">
      <c r="A15" t="str">
        <f>"00018"</f>
        <v>00018</v>
      </c>
      <c r="B15" t="s">
        <v>913</v>
      </c>
      <c r="C15" t="s">
        <v>97</v>
      </c>
    </row>
    <row r="16" spans="1:3" x14ac:dyDescent="0.2">
      <c r="A16" t="str">
        <f>"00019"</f>
        <v>00019</v>
      </c>
      <c r="B16" t="s">
        <v>292</v>
      </c>
      <c r="C16" t="s">
        <v>134</v>
      </c>
    </row>
    <row r="17" spans="1:3" x14ac:dyDescent="0.2">
      <c r="A17" t="str">
        <f>"00020"</f>
        <v>00020</v>
      </c>
      <c r="B17" t="s">
        <v>293</v>
      </c>
      <c r="C17" t="s">
        <v>137</v>
      </c>
    </row>
    <row r="18" spans="1:3" x14ac:dyDescent="0.2">
      <c r="A18" t="str">
        <f>"00023"</f>
        <v>00023</v>
      </c>
      <c r="B18" t="s">
        <v>294</v>
      </c>
      <c r="C18" t="s">
        <v>196</v>
      </c>
    </row>
    <row r="19" spans="1:3" x14ac:dyDescent="0.2">
      <c r="A19" t="str">
        <f>"00025"</f>
        <v>00025</v>
      </c>
      <c r="B19" t="s">
        <v>914</v>
      </c>
      <c r="C19" t="s">
        <v>134</v>
      </c>
    </row>
    <row r="20" spans="1:3" x14ac:dyDescent="0.2">
      <c r="A20" t="str">
        <f>"00026"</f>
        <v>00026</v>
      </c>
      <c r="B20" t="s">
        <v>915</v>
      </c>
      <c r="C20" t="s">
        <v>163</v>
      </c>
    </row>
    <row r="21" spans="1:3" x14ac:dyDescent="0.2">
      <c r="A21" t="str">
        <f>"00027"</f>
        <v>00027</v>
      </c>
      <c r="B21" t="s">
        <v>295</v>
      </c>
      <c r="C21" t="s">
        <v>101</v>
      </c>
    </row>
    <row r="22" spans="1:3" x14ac:dyDescent="0.2">
      <c r="A22" t="str">
        <f>"00028"</f>
        <v>00028</v>
      </c>
      <c r="B22" t="s">
        <v>916</v>
      </c>
      <c r="C22" t="s">
        <v>163</v>
      </c>
    </row>
    <row r="23" spans="1:3" x14ac:dyDescent="0.2">
      <c r="A23" t="str">
        <f>"00029"</f>
        <v>00029</v>
      </c>
      <c r="B23" t="s">
        <v>726</v>
      </c>
      <c r="C23" t="s">
        <v>163</v>
      </c>
    </row>
    <row r="24" spans="1:3" x14ac:dyDescent="0.2">
      <c r="A24" t="str">
        <f>"00030"</f>
        <v>00030</v>
      </c>
      <c r="B24" t="s">
        <v>917</v>
      </c>
      <c r="C24" t="s">
        <v>911</v>
      </c>
    </row>
    <row r="25" spans="1:3" x14ac:dyDescent="0.2">
      <c r="A25" t="str">
        <f>"00031"</f>
        <v>00031</v>
      </c>
      <c r="B25" t="s">
        <v>727</v>
      </c>
      <c r="C25" t="s">
        <v>233</v>
      </c>
    </row>
    <row r="26" spans="1:3" x14ac:dyDescent="0.2">
      <c r="A26" t="str">
        <f>"00032"</f>
        <v>00032</v>
      </c>
      <c r="B26" t="s">
        <v>918</v>
      </c>
      <c r="C26" t="s">
        <v>89</v>
      </c>
    </row>
    <row r="27" spans="1:3" x14ac:dyDescent="0.2">
      <c r="A27" t="str">
        <f>"00033"</f>
        <v>00033</v>
      </c>
      <c r="B27" t="s">
        <v>919</v>
      </c>
      <c r="C27" t="s">
        <v>120</v>
      </c>
    </row>
    <row r="28" spans="1:3" x14ac:dyDescent="0.2">
      <c r="A28" t="str">
        <f>"00034"</f>
        <v>00034</v>
      </c>
      <c r="B28" t="s">
        <v>920</v>
      </c>
      <c r="C28" t="s">
        <v>163</v>
      </c>
    </row>
    <row r="29" spans="1:3" x14ac:dyDescent="0.2">
      <c r="A29" t="str">
        <f>"00035"</f>
        <v>00035</v>
      </c>
      <c r="B29" t="s">
        <v>921</v>
      </c>
      <c r="C29" t="s">
        <v>163</v>
      </c>
    </row>
    <row r="30" spans="1:3" x14ac:dyDescent="0.2">
      <c r="A30" t="str">
        <f>"00037"</f>
        <v>00037</v>
      </c>
      <c r="B30" t="s">
        <v>922</v>
      </c>
      <c r="C30" t="s">
        <v>101</v>
      </c>
    </row>
    <row r="31" spans="1:3" x14ac:dyDescent="0.2">
      <c r="A31" t="str">
        <f>"00038"</f>
        <v>00038</v>
      </c>
      <c r="B31" t="s">
        <v>296</v>
      </c>
      <c r="C31" t="s">
        <v>233</v>
      </c>
    </row>
    <row r="32" spans="1:3" x14ac:dyDescent="0.2">
      <c r="A32" t="str">
        <f>"00040"</f>
        <v>00040</v>
      </c>
      <c r="B32" t="s">
        <v>923</v>
      </c>
      <c r="C32" t="s">
        <v>120</v>
      </c>
    </row>
    <row r="33" spans="1:3" x14ac:dyDescent="0.2">
      <c r="A33" t="str">
        <f>"00041"</f>
        <v>00041</v>
      </c>
      <c r="B33" t="s">
        <v>728</v>
      </c>
      <c r="C33" t="s">
        <v>163</v>
      </c>
    </row>
    <row r="34" spans="1:3" x14ac:dyDescent="0.2">
      <c r="A34" t="str">
        <f>"00045"</f>
        <v>00045</v>
      </c>
      <c r="B34" t="s">
        <v>924</v>
      </c>
      <c r="C34" t="s">
        <v>101</v>
      </c>
    </row>
    <row r="35" spans="1:3" x14ac:dyDescent="0.2">
      <c r="A35" t="str">
        <f>"00046"</f>
        <v>00046</v>
      </c>
      <c r="B35" t="s">
        <v>925</v>
      </c>
      <c r="C35" t="s">
        <v>137</v>
      </c>
    </row>
    <row r="36" spans="1:3" x14ac:dyDescent="0.2">
      <c r="A36" t="str">
        <f>"00048"</f>
        <v>00048</v>
      </c>
      <c r="B36" t="s">
        <v>926</v>
      </c>
      <c r="C36" t="s">
        <v>127</v>
      </c>
    </row>
    <row r="37" spans="1:3" x14ac:dyDescent="0.2">
      <c r="A37" t="str">
        <f>"00050"</f>
        <v>00050</v>
      </c>
      <c r="B37" t="s">
        <v>927</v>
      </c>
      <c r="C37" t="s">
        <v>163</v>
      </c>
    </row>
    <row r="38" spans="1:3" x14ac:dyDescent="0.2">
      <c r="A38" t="str">
        <f>"00051"</f>
        <v>00051</v>
      </c>
      <c r="B38" t="s">
        <v>928</v>
      </c>
      <c r="C38" t="s">
        <v>101</v>
      </c>
    </row>
    <row r="39" spans="1:3" x14ac:dyDescent="0.2">
      <c r="A39" t="str">
        <f>"00052"</f>
        <v>00052</v>
      </c>
      <c r="B39" t="s">
        <v>929</v>
      </c>
      <c r="C39" t="s">
        <v>101</v>
      </c>
    </row>
    <row r="40" spans="1:3" x14ac:dyDescent="0.2">
      <c r="A40" t="str">
        <f>"00053"</f>
        <v>00053</v>
      </c>
      <c r="B40" t="s">
        <v>930</v>
      </c>
      <c r="C40" t="s">
        <v>163</v>
      </c>
    </row>
    <row r="41" spans="1:3" x14ac:dyDescent="0.2">
      <c r="A41" t="str">
        <f>"00057"</f>
        <v>00057</v>
      </c>
      <c r="B41" t="s">
        <v>931</v>
      </c>
      <c r="C41" t="s">
        <v>233</v>
      </c>
    </row>
    <row r="42" spans="1:3" x14ac:dyDescent="0.2">
      <c r="A42" t="str">
        <f>"00058"</f>
        <v>00058</v>
      </c>
      <c r="B42" t="s">
        <v>932</v>
      </c>
      <c r="C42" t="s">
        <v>162</v>
      </c>
    </row>
    <row r="43" spans="1:3" x14ac:dyDescent="0.2">
      <c r="A43" t="str">
        <f>"00060"</f>
        <v>00060</v>
      </c>
      <c r="B43" t="s">
        <v>933</v>
      </c>
      <c r="C43" t="s">
        <v>68</v>
      </c>
    </row>
    <row r="44" spans="1:3" x14ac:dyDescent="0.2">
      <c r="A44" t="str">
        <f>"00062"</f>
        <v>00062</v>
      </c>
      <c r="B44" t="s">
        <v>297</v>
      </c>
      <c r="C44" t="s">
        <v>101</v>
      </c>
    </row>
    <row r="45" spans="1:3" x14ac:dyDescent="0.2">
      <c r="A45" t="str">
        <f>"00064"</f>
        <v>00064</v>
      </c>
      <c r="B45" t="s">
        <v>934</v>
      </c>
      <c r="C45" t="s">
        <v>171</v>
      </c>
    </row>
    <row r="46" spans="1:3" x14ac:dyDescent="0.2">
      <c r="A46" t="str">
        <f>"00066"</f>
        <v>00066</v>
      </c>
      <c r="B46" t="s">
        <v>298</v>
      </c>
      <c r="C46" t="s">
        <v>101</v>
      </c>
    </row>
    <row r="47" spans="1:3" x14ac:dyDescent="0.2">
      <c r="A47" t="str">
        <f>"00068"</f>
        <v>00068</v>
      </c>
      <c r="B47" t="s">
        <v>935</v>
      </c>
      <c r="C47" t="s">
        <v>137</v>
      </c>
    </row>
    <row r="48" spans="1:3" x14ac:dyDescent="0.2">
      <c r="A48" t="str">
        <f>"00069"</f>
        <v>00069</v>
      </c>
      <c r="B48" t="s">
        <v>299</v>
      </c>
      <c r="C48" t="s">
        <v>101</v>
      </c>
    </row>
    <row r="49" spans="1:3" x14ac:dyDescent="0.2">
      <c r="A49" t="str">
        <f>"00071"</f>
        <v>00071</v>
      </c>
      <c r="B49" t="s">
        <v>936</v>
      </c>
      <c r="C49" t="s">
        <v>163</v>
      </c>
    </row>
    <row r="50" spans="1:3" x14ac:dyDescent="0.2">
      <c r="A50" t="str">
        <f>"00072"</f>
        <v>00072</v>
      </c>
      <c r="B50" t="s">
        <v>937</v>
      </c>
      <c r="C50" t="s">
        <v>97</v>
      </c>
    </row>
    <row r="51" spans="1:3" x14ac:dyDescent="0.2">
      <c r="A51" t="str">
        <f>"00075"</f>
        <v>00075</v>
      </c>
      <c r="B51" t="s">
        <v>938</v>
      </c>
      <c r="C51" t="s">
        <v>163</v>
      </c>
    </row>
    <row r="52" spans="1:3" x14ac:dyDescent="0.2">
      <c r="A52" t="str">
        <f>"00077"</f>
        <v>00077</v>
      </c>
      <c r="B52" t="s">
        <v>939</v>
      </c>
      <c r="C52" t="s">
        <v>101</v>
      </c>
    </row>
    <row r="53" spans="1:3" x14ac:dyDescent="0.2">
      <c r="A53" t="str">
        <f>"00078"</f>
        <v>00078</v>
      </c>
      <c r="B53" t="s">
        <v>300</v>
      </c>
      <c r="C53" t="s">
        <v>101</v>
      </c>
    </row>
    <row r="54" spans="1:3" x14ac:dyDescent="0.2">
      <c r="A54" t="str">
        <f>"00080"</f>
        <v>00080</v>
      </c>
      <c r="B54" t="s">
        <v>729</v>
      </c>
      <c r="C54" t="s">
        <v>171</v>
      </c>
    </row>
    <row r="55" spans="1:3" x14ac:dyDescent="0.2">
      <c r="A55" t="str">
        <f>"00081"</f>
        <v>00081</v>
      </c>
      <c r="B55" t="s">
        <v>301</v>
      </c>
      <c r="C55" t="s">
        <v>163</v>
      </c>
    </row>
    <row r="56" spans="1:3" x14ac:dyDescent="0.2">
      <c r="A56" t="str">
        <f>"00083"</f>
        <v>00083</v>
      </c>
      <c r="B56" t="s">
        <v>302</v>
      </c>
      <c r="C56" t="s">
        <v>163</v>
      </c>
    </row>
    <row r="57" spans="1:3" x14ac:dyDescent="0.2">
      <c r="A57" t="str">
        <f>"00085"</f>
        <v>00085</v>
      </c>
      <c r="B57" t="s">
        <v>303</v>
      </c>
      <c r="C57" t="s">
        <v>135</v>
      </c>
    </row>
    <row r="58" spans="1:3" x14ac:dyDescent="0.2">
      <c r="A58" t="str">
        <f>"00086"</f>
        <v>00086</v>
      </c>
      <c r="B58" t="s">
        <v>304</v>
      </c>
      <c r="C58" t="s">
        <v>171</v>
      </c>
    </row>
    <row r="59" spans="1:3" x14ac:dyDescent="0.2">
      <c r="A59" t="str">
        <f>"00087"</f>
        <v>00087</v>
      </c>
      <c r="B59" t="s">
        <v>305</v>
      </c>
      <c r="C59" t="s">
        <v>134</v>
      </c>
    </row>
    <row r="60" spans="1:3" x14ac:dyDescent="0.2">
      <c r="A60" t="str">
        <f>"00088"</f>
        <v>00088</v>
      </c>
      <c r="B60" t="s">
        <v>940</v>
      </c>
      <c r="C60" t="s">
        <v>163</v>
      </c>
    </row>
    <row r="61" spans="1:3" x14ac:dyDescent="0.2">
      <c r="A61" t="str">
        <f>"00089"</f>
        <v>00089</v>
      </c>
      <c r="B61" t="s">
        <v>941</v>
      </c>
      <c r="C61" t="s">
        <v>163</v>
      </c>
    </row>
    <row r="62" spans="1:3" x14ac:dyDescent="0.2">
      <c r="A62" t="str">
        <f>"00090"</f>
        <v>00090</v>
      </c>
      <c r="B62" t="s">
        <v>730</v>
      </c>
      <c r="C62" t="s">
        <v>208</v>
      </c>
    </row>
    <row r="63" spans="1:3" x14ac:dyDescent="0.2">
      <c r="A63" t="str">
        <f>"00092"</f>
        <v>00092</v>
      </c>
      <c r="B63" t="s">
        <v>942</v>
      </c>
      <c r="C63" t="s">
        <v>137</v>
      </c>
    </row>
    <row r="64" spans="1:3" x14ac:dyDescent="0.2">
      <c r="A64" t="str">
        <f>"00093"</f>
        <v>00093</v>
      </c>
      <c r="B64" t="s">
        <v>943</v>
      </c>
      <c r="C64" t="s">
        <v>171</v>
      </c>
    </row>
    <row r="65" spans="1:3" x14ac:dyDescent="0.2">
      <c r="A65" t="str">
        <f>"00095"</f>
        <v>00095</v>
      </c>
      <c r="B65" t="s">
        <v>944</v>
      </c>
      <c r="C65" t="s">
        <v>163</v>
      </c>
    </row>
    <row r="66" spans="1:3" x14ac:dyDescent="0.2">
      <c r="A66" t="str">
        <f>"00096"</f>
        <v>00096</v>
      </c>
      <c r="B66" t="s">
        <v>945</v>
      </c>
      <c r="C66" t="s">
        <v>233</v>
      </c>
    </row>
    <row r="67" spans="1:3" x14ac:dyDescent="0.2">
      <c r="A67" t="str">
        <f>"00097"</f>
        <v>00097</v>
      </c>
      <c r="B67" t="s">
        <v>946</v>
      </c>
      <c r="C67" t="s">
        <v>81</v>
      </c>
    </row>
    <row r="68" spans="1:3" x14ac:dyDescent="0.2">
      <c r="A68" t="str">
        <f>"00098"</f>
        <v>00098</v>
      </c>
      <c r="B68" t="s">
        <v>947</v>
      </c>
      <c r="C68" t="s">
        <v>264</v>
      </c>
    </row>
    <row r="69" spans="1:3" x14ac:dyDescent="0.2">
      <c r="A69" t="str">
        <f>"00099"</f>
        <v>00099</v>
      </c>
      <c r="B69" t="s">
        <v>948</v>
      </c>
      <c r="C69" t="s">
        <v>233</v>
      </c>
    </row>
    <row r="70" spans="1:3" x14ac:dyDescent="0.2">
      <c r="A70" t="str">
        <f>"00100"</f>
        <v>00100</v>
      </c>
      <c r="B70" t="s">
        <v>949</v>
      </c>
      <c r="C70" t="s">
        <v>137</v>
      </c>
    </row>
    <row r="71" spans="1:3" x14ac:dyDescent="0.2">
      <c r="A71" t="str">
        <f>"00101"</f>
        <v>00101</v>
      </c>
      <c r="B71" t="s">
        <v>306</v>
      </c>
      <c r="C71" t="s">
        <v>163</v>
      </c>
    </row>
    <row r="72" spans="1:3" x14ac:dyDescent="0.2">
      <c r="A72" t="str">
        <f>"00103"</f>
        <v>00103</v>
      </c>
      <c r="B72" t="s">
        <v>950</v>
      </c>
      <c r="C72" t="s">
        <v>233</v>
      </c>
    </row>
    <row r="73" spans="1:3" x14ac:dyDescent="0.2">
      <c r="A73" t="str">
        <f>"00104"</f>
        <v>00104</v>
      </c>
      <c r="B73" t="s">
        <v>951</v>
      </c>
      <c r="C73" t="s">
        <v>81</v>
      </c>
    </row>
    <row r="74" spans="1:3" x14ac:dyDescent="0.2">
      <c r="A74" t="str">
        <f>"00105"</f>
        <v>00105</v>
      </c>
      <c r="B74" t="s">
        <v>952</v>
      </c>
      <c r="C74" t="s">
        <v>163</v>
      </c>
    </row>
    <row r="75" spans="1:3" x14ac:dyDescent="0.2">
      <c r="A75" t="str">
        <f>"00107"</f>
        <v>00107</v>
      </c>
      <c r="B75" t="s">
        <v>307</v>
      </c>
      <c r="C75" t="s">
        <v>220</v>
      </c>
    </row>
    <row r="76" spans="1:3" x14ac:dyDescent="0.2">
      <c r="A76" t="str">
        <f>"00108"</f>
        <v>00108</v>
      </c>
      <c r="B76" t="s">
        <v>731</v>
      </c>
      <c r="C76" t="s">
        <v>163</v>
      </c>
    </row>
    <row r="77" spans="1:3" x14ac:dyDescent="0.2">
      <c r="A77" t="str">
        <f>"00111"</f>
        <v>00111</v>
      </c>
      <c r="B77" t="s">
        <v>953</v>
      </c>
      <c r="C77" t="s">
        <v>171</v>
      </c>
    </row>
    <row r="78" spans="1:3" x14ac:dyDescent="0.2">
      <c r="A78" t="str">
        <f>"00113"</f>
        <v>00113</v>
      </c>
      <c r="B78" t="s">
        <v>954</v>
      </c>
      <c r="C78" t="s">
        <v>112</v>
      </c>
    </row>
    <row r="79" spans="1:3" x14ac:dyDescent="0.2">
      <c r="A79" t="str">
        <f>"00114"</f>
        <v>00114</v>
      </c>
      <c r="B79" t="s">
        <v>955</v>
      </c>
      <c r="C79" t="s">
        <v>120</v>
      </c>
    </row>
    <row r="80" spans="1:3" x14ac:dyDescent="0.2">
      <c r="A80" t="str">
        <f>"00115"</f>
        <v>00115</v>
      </c>
      <c r="B80" t="s">
        <v>956</v>
      </c>
      <c r="C80" t="s">
        <v>163</v>
      </c>
    </row>
    <row r="81" spans="1:3" x14ac:dyDescent="0.2">
      <c r="A81" t="str">
        <f>"00116"</f>
        <v>00116</v>
      </c>
      <c r="B81" t="s">
        <v>308</v>
      </c>
      <c r="C81" t="s">
        <v>81</v>
      </c>
    </row>
    <row r="82" spans="1:3" x14ac:dyDescent="0.2">
      <c r="A82" t="str">
        <f>"00117"</f>
        <v>00117</v>
      </c>
      <c r="B82" t="s">
        <v>957</v>
      </c>
      <c r="C82" t="s">
        <v>233</v>
      </c>
    </row>
    <row r="83" spans="1:3" x14ac:dyDescent="0.2">
      <c r="A83" t="str">
        <f>"00118"</f>
        <v>00118</v>
      </c>
      <c r="B83" t="s">
        <v>958</v>
      </c>
      <c r="C83" t="s">
        <v>233</v>
      </c>
    </row>
    <row r="84" spans="1:3" x14ac:dyDescent="0.2">
      <c r="A84" t="str">
        <f>"00119"</f>
        <v>00119</v>
      </c>
      <c r="B84" t="s">
        <v>732</v>
      </c>
      <c r="C84" t="s">
        <v>163</v>
      </c>
    </row>
    <row r="85" spans="1:3" x14ac:dyDescent="0.2">
      <c r="A85" t="str">
        <f>"00122"</f>
        <v>00122</v>
      </c>
      <c r="B85" t="s">
        <v>959</v>
      </c>
      <c r="C85" t="s">
        <v>163</v>
      </c>
    </row>
    <row r="86" spans="1:3" x14ac:dyDescent="0.2">
      <c r="A86" t="str">
        <f>"00123"</f>
        <v>00123</v>
      </c>
      <c r="B86" t="s">
        <v>309</v>
      </c>
      <c r="C86" t="s">
        <v>163</v>
      </c>
    </row>
    <row r="87" spans="1:3" x14ac:dyDescent="0.2">
      <c r="A87" t="str">
        <f>"00124"</f>
        <v>00124</v>
      </c>
      <c r="B87" t="s">
        <v>960</v>
      </c>
      <c r="C87" t="s">
        <v>163</v>
      </c>
    </row>
    <row r="88" spans="1:3" x14ac:dyDescent="0.2">
      <c r="A88" t="str">
        <f>"00126"</f>
        <v>00126</v>
      </c>
      <c r="B88" t="s">
        <v>961</v>
      </c>
      <c r="C88" t="s">
        <v>101</v>
      </c>
    </row>
    <row r="89" spans="1:3" x14ac:dyDescent="0.2">
      <c r="A89" t="str">
        <f>"00127"</f>
        <v>00127</v>
      </c>
      <c r="B89" t="s">
        <v>962</v>
      </c>
      <c r="C89" t="s">
        <v>163</v>
      </c>
    </row>
    <row r="90" spans="1:3" x14ac:dyDescent="0.2">
      <c r="A90" t="str">
        <f>"00128"</f>
        <v>00128</v>
      </c>
      <c r="B90" t="s">
        <v>963</v>
      </c>
      <c r="C90" t="s">
        <v>81</v>
      </c>
    </row>
    <row r="91" spans="1:3" x14ac:dyDescent="0.2">
      <c r="A91" t="str">
        <f>"00129"</f>
        <v>00129</v>
      </c>
      <c r="B91" t="s">
        <v>964</v>
      </c>
      <c r="C91" t="s">
        <v>171</v>
      </c>
    </row>
    <row r="92" spans="1:3" x14ac:dyDescent="0.2">
      <c r="A92" t="str">
        <f>"00131"</f>
        <v>00131</v>
      </c>
      <c r="B92" t="s">
        <v>965</v>
      </c>
      <c r="C92" t="s">
        <v>163</v>
      </c>
    </row>
    <row r="93" spans="1:3" x14ac:dyDescent="0.2">
      <c r="A93" t="str">
        <f>"00132"</f>
        <v>00132</v>
      </c>
      <c r="B93" t="s">
        <v>966</v>
      </c>
      <c r="C93" t="s">
        <v>134</v>
      </c>
    </row>
    <row r="94" spans="1:3" x14ac:dyDescent="0.2">
      <c r="A94" t="str">
        <f>"00133"</f>
        <v>00133</v>
      </c>
      <c r="B94" t="s">
        <v>967</v>
      </c>
      <c r="C94" t="s">
        <v>171</v>
      </c>
    </row>
    <row r="95" spans="1:3" x14ac:dyDescent="0.2">
      <c r="A95" t="str">
        <f>"00135"</f>
        <v>00135</v>
      </c>
      <c r="B95" t="s">
        <v>310</v>
      </c>
      <c r="C95" t="s">
        <v>208</v>
      </c>
    </row>
    <row r="96" spans="1:3" x14ac:dyDescent="0.2">
      <c r="A96" t="str">
        <f>"00136"</f>
        <v>00136</v>
      </c>
      <c r="B96" t="s">
        <v>311</v>
      </c>
      <c r="C96" t="s">
        <v>97</v>
      </c>
    </row>
    <row r="97" spans="1:3" x14ac:dyDescent="0.2">
      <c r="A97" t="str">
        <f>"00137"</f>
        <v>00137</v>
      </c>
      <c r="B97" t="s">
        <v>968</v>
      </c>
      <c r="C97" t="s">
        <v>220</v>
      </c>
    </row>
    <row r="98" spans="1:3" x14ac:dyDescent="0.2">
      <c r="A98" t="str">
        <f>"00139"</f>
        <v>00139</v>
      </c>
      <c r="B98" t="s">
        <v>969</v>
      </c>
      <c r="C98" t="s">
        <v>171</v>
      </c>
    </row>
    <row r="99" spans="1:3" x14ac:dyDescent="0.2">
      <c r="A99" t="str">
        <f>"00142"</f>
        <v>00142</v>
      </c>
      <c r="B99" t="s">
        <v>312</v>
      </c>
      <c r="C99" t="s">
        <v>68</v>
      </c>
    </row>
    <row r="100" spans="1:3" x14ac:dyDescent="0.2">
      <c r="A100" t="str">
        <f>"00144"</f>
        <v>00144</v>
      </c>
      <c r="B100" t="s">
        <v>313</v>
      </c>
      <c r="C100" t="s">
        <v>220</v>
      </c>
    </row>
    <row r="101" spans="1:3" x14ac:dyDescent="0.2">
      <c r="A101" t="str">
        <f>"00146"</f>
        <v>00146</v>
      </c>
      <c r="B101" t="s">
        <v>970</v>
      </c>
      <c r="C101" t="s">
        <v>112</v>
      </c>
    </row>
    <row r="102" spans="1:3" x14ac:dyDescent="0.2">
      <c r="A102" t="str">
        <f>"00148"</f>
        <v>00148</v>
      </c>
      <c r="B102" t="s">
        <v>314</v>
      </c>
      <c r="C102" t="s">
        <v>233</v>
      </c>
    </row>
    <row r="103" spans="1:3" x14ac:dyDescent="0.2">
      <c r="A103" t="str">
        <f>"00150"</f>
        <v>00150</v>
      </c>
      <c r="B103" t="s">
        <v>971</v>
      </c>
      <c r="C103" t="s">
        <v>97</v>
      </c>
    </row>
    <row r="104" spans="1:3" x14ac:dyDescent="0.2">
      <c r="A104" t="str">
        <f>"00151"</f>
        <v>00151</v>
      </c>
      <c r="B104" t="s">
        <v>315</v>
      </c>
      <c r="C104" t="s">
        <v>68</v>
      </c>
    </row>
    <row r="105" spans="1:3" x14ac:dyDescent="0.2">
      <c r="A105" t="str">
        <f>"00152"</f>
        <v>00152</v>
      </c>
      <c r="B105" t="s">
        <v>316</v>
      </c>
      <c r="C105" t="s">
        <v>220</v>
      </c>
    </row>
    <row r="106" spans="1:3" x14ac:dyDescent="0.2">
      <c r="A106" t="str">
        <f>"00154"</f>
        <v>00154</v>
      </c>
      <c r="B106" t="s">
        <v>972</v>
      </c>
      <c r="C106" t="s">
        <v>233</v>
      </c>
    </row>
    <row r="107" spans="1:3" x14ac:dyDescent="0.2">
      <c r="A107" t="str">
        <f>"00156"</f>
        <v>00156</v>
      </c>
      <c r="B107" t="s">
        <v>973</v>
      </c>
      <c r="C107" t="s">
        <v>101</v>
      </c>
    </row>
    <row r="108" spans="1:3" x14ac:dyDescent="0.2">
      <c r="A108" t="str">
        <f>"00157"</f>
        <v>00157</v>
      </c>
      <c r="B108" t="s">
        <v>974</v>
      </c>
      <c r="C108" t="s">
        <v>911</v>
      </c>
    </row>
    <row r="109" spans="1:3" x14ac:dyDescent="0.2">
      <c r="A109" t="str">
        <f>"00158"</f>
        <v>00158</v>
      </c>
      <c r="B109" t="s">
        <v>975</v>
      </c>
      <c r="C109" t="s">
        <v>163</v>
      </c>
    </row>
    <row r="110" spans="1:3" x14ac:dyDescent="0.2">
      <c r="A110" t="str">
        <f>"00160"</f>
        <v>00160</v>
      </c>
      <c r="B110" t="s">
        <v>976</v>
      </c>
      <c r="C110" t="s">
        <v>163</v>
      </c>
    </row>
    <row r="111" spans="1:3" x14ac:dyDescent="0.2">
      <c r="A111" t="str">
        <f>"00163"</f>
        <v>00163</v>
      </c>
      <c r="B111" t="s">
        <v>977</v>
      </c>
      <c r="C111" t="s">
        <v>163</v>
      </c>
    </row>
    <row r="112" spans="1:3" x14ac:dyDescent="0.2">
      <c r="A112" t="str">
        <f>"00164"</f>
        <v>00164</v>
      </c>
      <c r="B112" t="s">
        <v>978</v>
      </c>
      <c r="C112" t="s">
        <v>97</v>
      </c>
    </row>
    <row r="113" spans="1:3" x14ac:dyDescent="0.2">
      <c r="A113" t="str">
        <f>"00165"</f>
        <v>00165</v>
      </c>
      <c r="B113" t="s">
        <v>317</v>
      </c>
      <c r="C113" t="s">
        <v>171</v>
      </c>
    </row>
    <row r="114" spans="1:3" x14ac:dyDescent="0.2">
      <c r="A114" t="str">
        <f>"00167"</f>
        <v>00167</v>
      </c>
      <c r="B114" t="s">
        <v>979</v>
      </c>
      <c r="C114" t="s">
        <v>120</v>
      </c>
    </row>
    <row r="115" spans="1:3" x14ac:dyDescent="0.2">
      <c r="A115" t="str">
        <f>"00168"</f>
        <v>00168</v>
      </c>
      <c r="B115" t="s">
        <v>318</v>
      </c>
      <c r="C115" t="s">
        <v>68</v>
      </c>
    </row>
    <row r="116" spans="1:3" x14ac:dyDescent="0.2">
      <c r="A116" t="str">
        <f>"00169"</f>
        <v>00169</v>
      </c>
      <c r="B116" t="s">
        <v>980</v>
      </c>
      <c r="C116" t="s">
        <v>101</v>
      </c>
    </row>
    <row r="117" spans="1:3" x14ac:dyDescent="0.2">
      <c r="A117" t="str">
        <f>"00173"</f>
        <v>00173</v>
      </c>
      <c r="B117" t="s">
        <v>733</v>
      </c>
      <c r="C117" t="s">
        <v>163</v>
      </c>
    </row>
    <row r="118" spans="1:3" x14ac:dyDescent="0.2">
      <c r="A118" t="str">
        <f>"00174"</f>
        <v>00174</v>
      </c>
      <c r="B118" t="s">
        <v>981</v>
      </c>
      <c r="C118" t="s">
        <v>163</v>
      </c>
    </row>
    <row r="119" spans="1:3" x14ac:dyDescent="0.2">
      <c r="A119" t="str">
        <f>"00175"</f>
        <v>00175</v>
      </c>
      <c r="B119" t="s">
        <v>319</v>
      </c>
      <c r="C119" t="s">
        <v>127</v>
      </c>
    </row>
    <row r="120" spans="1:3" x14ac:dyDescent="0.2">
      <c r="A120" t="str">
        <f>"00177"</f>
        <v>00177</v>
      </c>
      <c r="B120" t="s">
        <v>320</v>
      </c>
      <c r="C120" t="s">
        <v>220</v>
      </c>
    </row>
    <row r="121" spans="1:3" x14ac:dyDescent="0.2">
      <c r="A121" t="str">
        <f>"00178"</f>
        <v>00178</v>
      </c>
      <c r="B121" t="s">
        <v>321</v>
      </c>
      <c r="C121" t="s">
        <v>911</v>
      </c>
    </row>
    <row r="122" spans="1:3" x14ac:dyDescent="0.2">
      <c r="A122" t="str">
        <f>"00179"</f>
        <v>00179</v>
      </c>
      <c r="B122" t="s">
        <v>322</v>
      </c>
      <c r="C122" t="s">
        <v>127</v>
      </c>
    </row>
    <row r="123" spans="1:3" x14ac:dyDescent="0.2">
      <c r="A123" t="str">
        <f>"00180"</f>
        <v>00180</v>
      </c>
      <c r="B123" t="s">
        <v>982</v>
      </c>
      <c r="C123" t="s">
        <v>120</v>
      </c>
    </row>
    <row r="124" spans="1:3" x14ac:dyDescent="0.2">
      <c r="A124" t="str">
        <f>"00181"</f>
        <v>00181</v>
      </c>
      <c r="B124" t="s">
        <v>983</v>
      </c>
      <c r="C124" t="s">
        <v>101</v>
      </c>
    </row>
    <row r="125" spans="1:3" x14ac:dyDescent="0.2">
      <c r="A125" t="str">
        <f>"00182"</f>
        <v>00182</v>
      </c>
      <c r="B125" t="s">
        <v>734</v>
      </c>
      <c r="C125" t="s">
        <v>208</v>
      </c>
    </row>
    <row r="126" spans="1:3" x14ac:dyDescent="0.2">
      <c r="A126" t="str">
        <f>"00184"</f>
        <v>00184</v>
      </c>
      <c r="B126" t="s">
        <v>984</v>
      </c>
      <c r="C126" t="s">
        <v>101</v>
      </c>
    </row>
    <row r="127" spans="1:3" x14ac:dyDescent="0.2">
      <c r="A127" t="str">
        <f>"00186"</f>
        <v>00186</v>
      </c>
      <c r="B127" t="s">
        <v>985</v>
      </c>
      <c r="C127" t="s">
        <v>163</v>
      </c>
    </row>
    <row r="128" spans="1:3" x14ac:dyDescent="0.2">
      <c r="A128" t="str">
        <f>"00187"</f>
        <v>00187</v>
      </c>
      <c r="B128" t="s">
        <v>735</v>
      </c>
      <c r="C128" t="s">
        <v>233</v>
      </c>
    </row>
    <row r="129" spans="1:3" x14ac:dyDescent="0.2">
      <c r="A129" t="str">
        <f>"00188"</f>
        <v>00188</v>
      </c>
      <c r="B129" t="s">
        <v>986</v>
      </c>
      <c r="C129" t="s">
        <v>171</v>
      </c>
    </row>
    <row r="130" spans="1:3" x14ac:dyDescent="0.2">
      <c r="A130" t="str">
        <f>"00189"</f>
        <v>00189</v>
      </c>
      <c r="B130" t="s">
        <v>323</v>
      </c>
      <c r="C130" t="s">
        <v>257</v>
      </c>
    </row>
    <row r="131" spans="1:3" x14ac:dyDescent="0.2">
      <c r="A131" t="str">
        <f>"00191"</f>
        <v>00191</v>
      </c>
      <c r="B131" t="s">
        <v>987</v>
      </c>
      <c r="C131" t="s">
        <v>134</v>
      </c>
    </row>
    <row r="132" spans="1:3" x14ac:dyDescent="0.2">
      <c r="A132" t="str">
        <f>"00194"</f>
        <v>00194</v>
      </c>
      <c r="B132" t="s">
        <v>988</v>
      </c>
      <c r="C132" t="s">
        <v>163</v>
      </c>
    </row>
    <row r="133" spans="1:3" x14ac:dyDescent="0.2">
      <c r="A133" t="str">
        <f>"00195"</f>
        <v>00195</v>
      </c>
      <c r="B133" t="s">
        <v>989</v>
      </c>
      <c r="C133" t="s">
        <v>264</v>
      </c>
    </row>
    <row r="134" spans="1:3" x14ac:dyDescent="0.2">
      <c r="A134" t="str">
        <f>"00196"</f>
        <v>00196</v>
      </c>
      <c r="B134" t="s">
        <v>990</v>
      </c>
      <c r="C134" t="s">
        <v>277</v>
      </c>
    </row>
    <row r="135" spans="1:3" x14ac:dyDescent="0.2">
      <c r="A135" t="str">
        <f>"00199"</f>
        <v>00199</v>
      </c>
      <c r="B135" t="s">
        <v>991</v>
      </c>
      <c r="C135" t="s">
        <v>163</v>
      </c>
    </row>
    <row r="136" spans="1:3" x14ac:dyDescent="0.2">
      <c r="A136" t="str">
        <f>"00200"</f>
        <v>00200</v>
      </c>
      <c r="B136" t="s">
        <v>324</v>
      </c>
      <c r="C136" t="s">
        <v>101</v>
      </c>
    </row>
    <row r="137" spans="1:3" x14ac:dyDescent="0.2">
      <c r="A137" t="str">
        <f>"00205"</f>
        <v>00205</v>
      </c>
      <c r="B137" t="s">
        <v>992</v>
      </c>
      <c r="C137" t="s">
        <v>97</v>
      </c>
    </row>
    <row r="138" spans="1:3" x14ac:dyDescent="0.2">
      <c r="A138" t="str">
        <f>"00206"</f>
        <v>00206</v>
      </c>
      <c r="B138" t="s">
        <v>993</v>
      </c>
      <c r="C138" t="s">
        <v>277</v>
      </c>
    </row>
    <row r="139" spans="1:3" x14ac:dyDescent="0.2">
      <c r="A139" t="str">
        <f>"00209"</f>
        <v>00209</v>
      </c>
      <c r="B139" t="s">
        <v>994</v>
      </c>
      <c r="C139" t="s">
        <v>120</v>
      </c>
    </row>
    <row r="140" spans="1:3" x14ac:dyDescent="0.2">
      <c r="A140" t="str">
        <f>"00210"</f>
        <v>00210</v>
      </c>
      <c r="B140" t="s">
        <v>995</v>
      </c>
      <c r="C140" t="s">
        <v>112</v>
      </c>
    </row>
    <row r="141" spans="1:3" x14ac:dyDescent="0.2">
      <c r="A141" t="str">
        <f>"00211"</f>
        <v>00211</v>
      </c>
      <c r="B141" t="s">
        <v>996</v>
      </c>
      <c r="C141" t="s">
        <v>171</v>
      </c>
    </row>
    <row r="142" spans="1:3" x14ac:dyDescent="0.2">
      <c r="A142" t="str">
        <f>"00212"</f>
        <v>00212</v>
      </c>
      <c r="B142" t="s">
        <v>997</v>
      </c>
      <c r="C142" t="s">
        <v>163</v>
      </c>
    </row>
    <row r="143" spans="1:3" x14ac:dyDescent="0.2">
      <c r="A143" t="str">
        <f>"00213"</f>
        <v>00213</v>
      </c>
      <c r="B143" t="s">
        <v>998</v>
      </c>
      <c r="C143" t="s">
        <v>233</v>
      </c>
    </row>
    <row r="144" spans="1:3" x14ac:dyDescent="0.2">
      <c r="A144" t="str">
        <f>"00214"</f>
        <v>00214</v>
      </c>
      <c r="B144" t="s">
        <v>999</v>
      </c>
      <c r="C144" t="s">
        <v>171</v>
      </c>
    </row>
    <row r="145" spans="1:3" x14ac:dyDescent="0.2">
      <c r="A145" t="str">
        <f>"00215"</f>
        <v>00215</v>
      </c>
      <c r="B145" t="s">
        <v>325</v>
      </c>
      <c r="C145" t="s">
        <v>215</v>
      </c>
    </row>
    <row r="146" spans="1:3" x14ac:dyDescent="0.2">
      <c r="A146" t="str">
        <f>"00216"</f>
        <v>00216</v>
      </c>
      <c r="B146" t="s">
        <v>1000</v>
      </c>
      <c r="C146" t="s">
        <v>163</v>
      </c>
    </row>
    <row r="147" spans="1:3" x14ac:dyDescent="0.2">
      <c r="A147" t="str">
        <f>"00217"</f>
        <v>00217</v>
      </c>
      <c r="B147" t="s">
        <v>1001</v>
      </c>
      <c r="C147" t="s">
        <v>264</v>
      </c>
    </row>
    <row r="148" spans="1:3" x14ac:dyDescent="0.2">
      <c r="A148" t="str">
        <f>"00218"</f>
        <v>00218</v>
      </c>
      <c r="B148" t="s">
        <v>326</v>
      </c>
      <c r="C148" t="s">
        <v>171</v>
      </c>
    </row>
    <row r="149" spans="1:3" x14ac:dyDescent="0.2">
      <c r="A149" t="str">
        <f>"00219"</f>
        <v>00219</v>
      </c>
      <c r="B149" t="s">
        <v>1002</v>
      </c>
      <c r="C149" t="s">
        <v>101</v>
      </c>
    </row>
    <row r="150" spans="1:3" x14ac:dyDescent="0.2">
      <c r="A150" t="str">
        <f>"00220"</f>
        <v>00220</v>
      </c>
      <c r="B150" t="s">
        <v>327</v>
      </c>
      <c r="C150" t="s">
        <v>68</v>
      </c>
    </row>
    <row r="151" spans="1:3" x14ac:dyDescent="0.2">
      <c r="A151" t="str">
        <f>"00222"</f>
        <v>00222</v>
      </c>
      <c r="B151" t="s">
        <v>1003</v>
      </c>
      <c r="C151" t="s">
        <v>188</v>
      </c>
    </row>
    <row r="152" spans="1:3" x14ac:dyDescent="0.2">
      <c r="A152" t="str">
        <f>"00223"</f>
        <v>00223</v>
      </c>
      <c r="B152" t="s">
        <v>1004</v>
      </c>
      <c r="C152" t="s">
        <v>217</v>
      </c>
    </row>
    <row r="153" spans="1:3" x14ac:dyDescent="0.2">
      <c r="A153" t="str">
        <f>"00224"</f>
        <v>00224</v>
      </c>
      <c r="B153" t="s">
        <v>1005</v>
      </c>
      <c r="C153" t="s">
        <v>163</v>
      </c>
    </row>
    <row r="154" spans="1:3" x14ac:dyDescent="0.2">
      <c r="A154" t="str">
        <f>"00225"</f>
        <v>00225</v>
      </c>
      <c r="B154" t="s">
        <v>1006</v>
      </c>
      <c r="C154" t="s">
        <v>163</v>
      </c>
    </row>
    <row r="155" spans="1:3" x14ac:dyDescent="0.2">
      <c r="A155" t="str">
        <f>"00227"</f>
        <v>00227</v>
      </c>
      <c r="B155" t="s">
        <v>1007</v>
      </c>
      <c r="C155" t="s">
        <v>171</v>
      </c>
    </row>
    <row r="156" spans="1:3" x14ac:dyDescent="0.2">
      <c r="A156" t="str">
        <f>"00228"</f>
        <v>00228</v>
      </c>
      <c r="B156" t="s">
        <v>1008</v>
      </c>
      <c r="C156" t="s">
        <v>277</v>
      </c>
    </row>
    <row r="157" spans="1:3" x14ac:dyDescent="0.2">
      <c r="A157" t="str">
        <f>"00229"</f>
        <v>00229</v>
      </c>
      <c r="B157" t="s">
        <v>1009</v>
      </c>
      <c r="C157" t="s">
        <v>120</v>
      </c>
    </row>
    <row r="158" spans="1:3" x14ac:dyDescent="0.2">
      <c r="A158" t="str">
        <f>"00232"</f>
        <v>00232</v>
      </c>
      <c r="B158" t="s">
        <v>1010</v>
      </c>
      <c r="C158" t="s">
        <v>233</v>
      </c>
    </row>
    <row r="159" spans="1:3" x14ac:dyDescent="0.2">
      <c r="A159" t="str">
        <f>"00236"</f>
        <v>00236</v>
      </c>
      <c r="B159" t="s">
        <v>1011</v>
      </c>
      <c r="C159" t="s">
        <v>68</v>
      </c>
    </row>
    <row r="160" spans="1:3" x14ac:dyDescent="0.2">
      <c r="A160" t="str">
        <f>"00237"</f>
        <v>00237</v>
      </c>
      <c r="B160" t="s">
        <v>1012</v>
      </c>
      <c r="C160" t="s">
        <v>163</v>
      </c>
    </row>
    <row r="161" spans="1:3" x14ac:dyDescent="0.2">
      <c r="A161" t="str">
        <f>"00239"</f>
        <v>00239</v>
      </c>
      <c r="B161" t="s">
        <v>1013</v>
      </c>
      <c r="C161" t="s">
        <v>25</v>
      </c>
    </row>
    <row r="162" spans="1:3" x14ac:dyDescent="0.2">
      <c r="A162" t="str">
        <f>"00240"</f>
        <v>00240</v>
      </c>
      <c r="B162" t="s">
        <v>1014</v>
      </c>
      <c r="C162" t="s">
        <v>162</v>
      </c>
    </row>
    <row r="163" spans="1:3" x14ac:dyDescent="0.2">
      <c r="A163" t="str">
        <f>"00241"</f>
        <v>00241</v>
      </c>
      <c r="B163" t="s">
        <v>328</v>
      </c>
      <c r="C163" t="s">
        <v>25</v>
      </c>
    </row>
    <row r="164" spans="1:3" x14ac:dyDescent="0.2">
      <c r="A164" t="str">
        <f>"00242"</f>
        <v>00242</v>
      </c>
      <c r="B164" t="s">
        <v>1015</v>
      </c>
      <c r="C164" t="s">
        <v>134</v>
      </c>
    </row>
    <row r="165" spans="1:3" x14ac:dyDescent="0.2">
      <c r="A165" t="str">
        <f>"00243"</f>
        <v>00243</v>
      </c>
      <c r="B165" t="s">
        <v>1016</v>
      </c>
      <c r="C165" t="s">
        <v>135</v>
      </c>
    </row>
    <row r="166" spans="1:3" x14ac:dyDescent="0.2">
      <c r="A166" t="str">
        <f>"00244"</f>
        <v>00244</v>
      </c>
      <c r="B166" t="s">
        <v>1017</v>
      </c>
      <c r="C166" t="s">
        <v>81</v>
      </c>
    </row>
    <row r="167" spans="1:3" x14ac:dyDescent="0.2">
      <c r="A167" t="str">
        <f>"00245"</f>
        <v>00245</v>
      </c>
      <c r="B167" t="s">
        <v>1018</v>
      </c>
      <c r="C167" t="s">
        <v>171</v>
      </c>
    </row>
    <row r="168" spans="1:3" x14ac:dyDescent="0.2">
      <c r="A168" t="str">
        <f>"00247"</f>
        <v>00247</v>
      </c>
      <c r="B168" t="s">
        <v>1019</v>
      </c>
      <c r="C168" t="s">
        <v>163</v>
      </c>
    </row>
    <row r="169" spans="1:3" x14ac:dyDescent="0.2">
      <c r="A169" t="str">
        <f>"00251"</f>
        <v>00251</v>
      </c>
      <c r="B169" t="s">
        <v>1020</v>
      </c>
      <c r="C169" t="s">
        <v>163</v>
      </c>
    </row>
    <row r="170" spans="1:3" x14ac:dyDescent="0.2">
      <c r="A170" t="str">
        <f>"00252"</f>
        <v>00252</v>
      </c>
      <c r="B170" t="s">
        <v>1021</v>
      </c>
      <c r="C170" t="s">
        <v>217</v>
      </c>
    </row>
    <row r="171" spans="1:3" x14ac:dyDescent="0.2">
      <c r="A171" t="str">
        <f>"00253"</f>
        <v>00253</v>
      </c>
      <c r="B171" t="s">
        <v>1022</v>
      </c>
      <c r="C171" t="s">
        <v>101</v>
      </c>
    </row>
    <row r="172" spans="1:3" x14ac:dyDescent="0.2">
      <c r="A172" t="str">
        <f>"00254"</f>
        <v>00254</v>
      </c>
      <c r="B172" t="s">
        <v>1023</v>
      </c>
      <c r="C172" t="s">
        <v>101</v>
      </c>
    </row>
    <row r="173" spans="1:3" x14ac:dyDescent="0.2">
      <c r="A173" t="str">
        <f>"00255"</f>
        <v>00255</v>
      </c>
      <c r="B173" t="s">
        <v>1024</v>
      </c>
      <c r="C173" t="s">
        <v>233</v>
      </c>
    </row>
    <row r="174" spans="1:3" x14ac:dyDescent="0.2">
      <c r="A174" t="str">
        <f>"00257"</f>
        <v>00257</v>
      </c>
      <c r="B174" t="s">
        <v>329</v>
      </c>
      <c r="C174" t="s">
        <v>208</v>
      </c>
    </row>
    <row r="175" spans="1:3" x14ac:dyDescent="0.2">
      <c r="A175" t="str">
        <f>"00258"</f>
        <v>00258</v>
      </c>
      <c r="B175" t="s">
        <v>736</v>
      </c>
      <c r="C175" t="s">
        <v>163</v>
      </c>
    </row>
    <row r="176" spans="1:3" x14ac:dyDescent="0.2">
      <c r="A176" t="str">
        <f>"00259"</f>
        <v>00259</v>
      </c>
      <c r="B176" t="s">
        <v>330</v>
      </c>
      <c r="C176" t="s">
        <v>233</v>
      </c>
    </row>
    <row r="177" spans="1:3" x14ac:dyDescent="0.2">
      <c r="A177" t="str">
        <f>"00264"</f>
        <v>00264</v>
      </c>
      <c r="B177" t="s">
        <v>1025</v>
      </c>
      <c r="C177" t="s">
        <v>112</v>
      </c>
    </row>
    <row r="178" spans="1:3" x14ac:dyDescent="0.2">
      <c r="A178" t="str">
        <f>"00265"</f>
        <v>00265</v>
      </c>
      <c r="B178" t="s">
        <v>1026</v>
      </c>
      <c r="C178" t="s">
        <v>163</v>
      </c>
    </row>
    <row r="179" spans="1:3" x14ac:dyDescent="0.2">
      <c r="A179" t="str">
        <f>"00266"</f>
        <v>00266</v>
      </c>
      <c r="B179" t="s">
        <v>1027</v>
      </c>
      <c r="C179" t="s">
        <v>163</v>
      </c>
    </row>
    <row r="180" spans="1:3" x14ac:dyDescent="0.2">
      <c r="A180" t="str">
        <f>"00267"</f>
        <v>00267</v>
      </c>
      <c r="B180" t="s">
        <v>331</v>
      </c>
      <c r="C180" t="s">
        <v>134</v>
      </c>
    </row>
    <row r="181" spans="1:3" x14ac:dyDescent="0.2">
      <c r="A181" t="str">
        <f>"00268"</f>
        <v>00268</v>
      </c>
      <c r="B181" t="s">
        <v>332</v>
      </c>
      <c r="C181" t="s">
        <v>137</v>
      </c>
    </row>
    <row r="182" spans="1:3" x14ac:dyDescent="0.2">
      <c r="A182" t="str">
        <f>"00270"</f>
        <v>00270</v>
      </c>
      <c r="B182" t="s">
        <v>333</v>
      </c>
      <c r="C182" t="s">
        <v>208</v>
      </c>
    </row>
    <row r="183" spans="1:3" x14ac:dyDescent="0.2">
      <c r="A183" t="str">
        <f>"00271"</f>
        <v>00271</v>
      </c>
      <c r="B183" t="s">
        <v>1028</v>
      </c>
      <c r="C183" t="s">
        <v>163</v>
      </c>
    </row>
    <row r="184" spans="1:3" x14ac:dyDescent="0.2">
      <c r="A184" t="str">
        <f>"00272"</f>
        <v>00272</v>
      </c>
      <c r="B184" t="s">
        <v>737</v>
      </c>
      <c r="C184" t="s">
        <v>163</v>
      </c>
    </row>
    <row r="185" spans="1:3" x14ac:dyDescent="0.2">
      <c r="A185" t="str">
        <f>"00276"</f>
        <v>00276</v>
      </c>
      <c r="B185" t="s">
        <v>1029</v>
      </c>
      <c r="C185" t="s">
        <v>912</v>
      </c>
    </row>
    <row r="186" spans="1:3" x14ac:dyDescent="0.2">
      <c r="A186" t="str">
        <f>"00277"</f>
        <v>00277</v>
      </c>
      <c r="B186" t="s">
        <v>1030</v>
      </c>
      <c r="C186" t="s">
        <v>163</v>
      </c>
    </row>
    <row r="187" spans="1:3" x14ac:dyDescent="0.2">
      <c r="A187" t="str">
        <f>"00279"</f>
        <v>00279</v>
      </c>
      <c r="B187" t="s">
        <v>1031</v>
      </c>
      <c r="C187" t="s">
        <v>171</v>
      </c>
    </row>
    <row r="188" spans="1:3" x14ac:dyDescent="0.2">
      <c r="A188" t="str">
        <f>"00280"</f>
        <v>00280</v>
      </c>
      <c r="B188" t="s">
        <v>1032</v>
      </c>
      <c r="C188" t="s">
        <v>112</v>
      </c>
    </row>
    <row r="189" spans="1:3" x14ac:dyDescent="0.2">
      <c r="A189" t="str">
        <f>"00285"</f>
        <v>00285</v>
      </c>
      <c r="B189" t="s">
        <v>334</v>
      </c>
      <c r="C189" t="s">
        <v>154</v>
      </c>
    </row>
    <row r="190" spans="1:3" x14ac:dyDescent="0.2">
      <c r="A190" t="str">
        <f>"00286"</f>
        <v>00286</v>
      </c>
      <c r="B190" t="s">
        <v>1033</v>
      </c>
      <c r="C190" t="s">
        <v>911</v>
      </c>
    </row>
    <row r="191" spans="1:3" x14ac:dyDescent="0.2">
      <c r="A191" t="str">
        <f>"00287"</f>
        <v>00287</v>
      </c>
      <c r="B191" t="s">
        <v>1034</v>
      </c>
      <c r="C191" t="s">
        <v>163</v>
      </c>
    </row>
    <row r="192" spans="1:3" x14ac:dyDescent="0.2">
      <c r="A192" t="str">
        <f>"00288"</f>
        <v>00288</v>
      </c>
      <c r="B192" t="s">
        <v>335</v>
      </c>
      <c r="C192" t="s">
        <v>68</v>
      </c>
    </row>
    <row r="193" spans="1:3" x14ac:dyDescent="0.2">
      <c r="A193" t="str">
        <f>"00289"</f>
        <v>00289</v>
      </c>
      <c r="B193" t="s">
        <v>1035</v>
      </c>
      <c r="C193" t="s">
        <v>81</v>
      </c>
    </row>
    <row r="194" spans="1:3" x14ac:dyDescent="0.2">
      <c r="A194" t="str">
        <f>"00290"</f>
        <v>00290</v>
      </c>
      <c r="B194" t="s">
        <v>336</v>
      </c>
      <c r="C194" t="s">
        <v>171</v>
      </c>
    </row>
    <row r="195" spans="1:3" x14ac:dyDescent="0.2">
      <c r="A195" t="str">
        <f>"00291"</f>
        <v>00291</v>
      </c>
      <c r="B195" t="s">
        <v>337</v>
      </c>
      <c r="C195" t="s">
        <v>68</v>
      </c>
    </row>
    <row r="196" spans="1:3" x14ac:dyDescent="0.2">
      <c r="A196" t="str">
        <f>"00293"</f>
        <v>00293</v>
      </c>
      <c r="B196" t="s">
        <v>338</v>
      </c>
      <c r="C196" t="s">
        <v>101</v>
      </c>
    </row>
    <row r="197" spans="1:3" x14ac:dyDescent="0.2">
      <c r="A197" t="str">
        <f>"00294"</f>
        <v>00294</v>
      </c>
      <c r="B197" t="s">
        <v>1036</v>
      </c>
      <c r="C197" t="s">
        <v>112</v>
      </c>
    </row>
    <row r="198" spans="1:3" x14ac:dyDescent="0.2">
      <c r="A198" t="str">
        <f>"00296"</f>
        <v>00296</v>
      </c>
      <c r="B198" t="s">
        <v>1037</v>
      </c>
      <c r="C198" t="s">
        <v>101</v>
      </c>
    </row>
    <row r="199" spans="1:3" x14ac:dyDescent="0.2">
      <c r="A199" t="str">
        <f>"00297"</f>
        <v>00297</v>
      </c>
      <c r="B199" t="s">
        <v>339</v>
      </c>
      <c r="C199" t="s">
        <v>257</v>
      </c>
    </row>
    <row r="200" spans="1:3" x14ac:dyDescent="0.2">
      <c r="A200" t="str">
        <f>"00300"</f>
        <v>00300</v>
      </c>
      <c r="B200" t="s">
        <v>340</v>
      </c>
      <c r="C200" t="s">
        <v>120</v>
      </c>
    </row>
    <row r="201" spans="1:3" x14ac:dyDescent="0.2">
      <c r="A201" t="str">
        <f>"00301"</f>
        <v>00301</v>
      </c>
      <c r="B201" t="s">
        <v>1038</v>
      </c>
      <c r="C201" t="s">
        <v>257</v>
      </c>
    </row>
    <row r="202" spans="1:3" x14ac:dyDescent="0.2">
      <c r="A202" t="str">
        <f>"00302"</f>
        <v>00302</v>
      </c>
      <c r="B202" t="s">
        <v>738</v>
      </c>
      <c r="C202" t="s">
        <v>137</v>
      </c>
    </row>
    <row r="203" spans="1:3" x14ac:dyDescent="0.2">
      <c r="A203" t="str">
        <f>"00303"</f>
        <v>00303</v>
      </c>
      <c r="B203" t="s">
        <v>341</v>
      </c>
      <c r="C203" t="s">
        <v>154</v>
      </c>
    </row>
    <row r="204" spans="1:3" x14ac:dyDescent="0.2">
      <c r="A204" t="str">
        <f>"00305"</f>
        <v>00305</v>
      </c>
      <c r="B204" t="s">
        <v>1039</v>
      </c>
      <c r="C204" t="s">
        <v>127</v>
      </c>
    </row>
    <row r="205" spans="1:3" x14ac:dyDescent="0.2">
      <c r="A205" t="str">
        <f>"00306"</f>
        <v>00306</v>
      </c>
      <c r="B205" t="s">
        <v>1040</v>
      </c>
      <c r="C205" t="s">
        <v>101</v>
      </c>
    </row>
    <row r="206" spans="1:3" x14ac:dyDescent="0.2">
      <c r="A206" t="str">
        <f>"00308"</f>
        <v>00308</v>
      </c>
      <c r="B206" t="s">
        <v>342</v>
      </c>
      <c r="C206" t="s">
        <v>101</v>
      </c>
    </row>
    <row r="207" spans="1:3" x14ac:dyDescent="0.2">
      <c r="A207" t="str">
        <f>"00311"</f>
        <v>00311</v>
      </c>
      <c r="B207" t="s">
        <v>1041</v>
      </c>
      <c r="C207" t="s">
        <v>112</v>
      </c>
    </row>
    <row r="208" spans="1:3" x14ac:dyDescent="0.2">
      <c r="A208" t="str">
        <f>"00314"</f>
        <v>00314</v>
      </c>
      <c r="B208" t="s">
        <v>1042</v>
      </c>
      <c r="C208" t="s">
        <v>25</v>
      </c>
    </row>
    <row r="209" spans="1:3" x14ac:dyDescent="0.2">
      <c r="A209" t="str">
        <f>"00315"</f>
        <v>00315</v>
      </c>
      <c r="B209" t="s">
        <v>343</v>
      </c>
      <c r="C209" t="s">
        <v>215</v>
      </c>
    </row>
    <row r="210" spans="1:3" x14ac:dyDescent="0.2">
      <c r="A210" t="str">
        <f>"00316"</f>
        <v>00316</v>
      </c>
      <c r="B210" t="s">
        <v>344</v>
      </c>
      <c r="C210" t="s">
        <v>220</v>
      </c>
    </row>
    <row r="211" spans="1:3" x14ac:dyDescent="0.2">
      <c r="A211" t="str">
        <f>"00317"</f>
        <v>00317</v>
      </c>
      <c r="B211" t="s">
        <v>345</v>
      </c>
      <c r="C211" t="s">
        <v>233</v>
      </c>
    </row>
    <row r="212" spans="1:3" x14ac:dyDescent="0.2">
      <c r="A212" t="str">
        <f>"00318"</f>
        <v>00318</v>
      </c>
      <c r="B212" t="s">
        <v>1043</v>
      </c>
      <c r="C212" t="s">
        <v>137</v>
      </c>
    </row>
    <row r="213" spans="1:3" x14ac:dyDescent="0.2">
      <c r="A213" t="str">
        <f>"00320"</f>
        <v>00320</v>
      </c>
      <c r="B213" t="s">
        <v>1044</v>
      </c>
      <c r="C213" t="s">
        <v>233</v>
      </c>
    </row>
    <row r="214" spans="1:3" x14ac:dyDescent="0.2">
      <c r="A214" t="str">
        <f>"00321"</f>
        <v>00321</v>
      </c>
      <c r="B214" t="s">
        <v>346</v>
      </c>
      <c r="C214" t="s">
        <v>112</v>
      </c>
    </row>
    <row r="215" spans="1:3" x14ac:dyDescent="0.2">
      <c r="A215" t="str">
        <f>"00322"</f>
        <v>00322</v>
      </c>
      <c r="B215" t="s">
        <v>347</v>
      </c>
      <c r="C215" t="s">
        <v>68</v>
      </c>
    </row>
    <row r="216" spans="1:3" x14ac:dyDescent="0.2">
      <c r="A216" t="str">
        <f>"00323"</f>
        <v>00323</v>
      </c>
      <c r="B216" t="s">
        <v>348</v>
      </c>
      <c r="C216" t="s">
        <v>264</v>
      </c>
    </row>
    <row r="217" spans="1:3" x14ac:dyDescent="0.2">
      <c r="A217" t="str">
        <f>"00325"</f>
        <v>00325</v>
      </c>
      <c r="B217" t="s">
        <v>739</v>
      </c>
      <c r="C217" t="s">
        <v>120</v>
      </c>
    </row>
    <row r="218" spans="1:3" x14ac:dyDescent="0.2">
      <c r="A218" t="str">
        <f>"00326"</f>
        <v>00326</v>
      </c>
      <c r="B218" t="s">
        <v>349</v>
      </c>
      <c r="C218" t="s">
        <v>97</v>
      </c>
    </row>
    <row r="219" spans="1:3" x14ac:dyDescent="0.2">
      <c r="A219" t="str">
        <f>"00327"</f>
        <v>00327</v>
      </c>
      <c r="B219" t="s">
        <v>350</v>
      </c>
      <c r="C219" t="s">
        <v>154</v>
      </c>
    </row>
    <row r="220" spans="1:3" x14ac:dyDescent="0.2">
      <c r="A220" t="str">
        <f>"00328"</f>
        <v>00328</v>
      </c>
      <c r="B220" t="s">
        <v>1045</v>
      </c>
      <c r="C220" t="s">
        <v>154</v>
      </c>
    </row>
    <row r="221" spans="1:3" x14ac:dyDescent="0.2">
      <c r="A221" t="str">
        <f>"00329"</f>
        <v>00329</v>
      </c>
      <c r="B221" t="s">
        <v>1046</v>
      </c>
      <c r="C221" t="s">
        <v>171</v>
      </c>
    </row>
    <row r="222" spans="1:3" x14ac:dyDescent="0.2">
      <c r="A222" t="str">
        <f>"00330"</f>
        <v>00330</v>
      </c>
      <c r="B222" t="s">
        <v>1047</v>
      </c>
      <c r="C222" t="s">
        <v>112</v>
      </c>
    </row>
    <row r="223" spans="1:3" x14ac:dyDescent="0.2">
      <c r="A223" t="str">
        <f>"00331"</f>
        <v>00331</v>
      </c>
      <c r="B223" t="s">
        <v>1048</v>
      </c>
      <c r="C223" t="s">
        <v>89</v>
      </c>
    </row>
    <row r="224" spans="1:3" x14ac:dyDescent="0.2">
      <c r="A224" t="str">
        <f>"00334"</f>
        <v>00334</v>
      </c>
      <c r="B224" t="s">
        <v>1049</v>
      </c>
      <c r="C224" t="s">
        <v>154</v>
      </c>
    </row>
    <row r="225" spans="1:3" x14ac:dyDescent="0.2">
      <c r="A225" t="str">
        <f>"00335"</f>
        <v>00335</v>
      </c>
      <c r="B225" t="s">
        <v>1050</v>
      </c>
      <c r="C225" t="s">
        <v>171</v>
      </c>
    </row>
    <row r="226" spans="1:3" x14ac:dyDescent="0.2">
      <c r="A226" t="str">
        <f>"00336"</f>
        <v>00336</v>
      </c>
      <c r="B226" t="s">
        <v>351</v>
      </c>
      <c r="C226" t="s">
        <v>68</v>
      </c>
    </row>
    <row r="227" spans="1:3" x14ac:dyDescent="0.2">
      <c r="A227" t="str">
        <f>"00337"</f>
        <v>00337</v>
      </c>
      <c r="B227" t="s">
        <v>1051</v>
      </c>
      <c r="C227" t="s">
        <v>163</v>
      </c>
    </row>
    <row r="228" spans="1:3" x14ac:dyDescent="0.2">
      <c r="A228" t="str">
        <f>"00338"</f>
        <v>00338</v>
      </c>
      <c r="B228" t="s">
        <v>352</v>
      </c>
      <c r="C228" t="s">
        <v>257</v>
      </c>
    </row>
    <row r="229" spans="1:3" x14ac:dyDescent="0.2">
      <c r="A229" t="str">
        <f>"00339"</f>
        <v>00339</v>
      </c>
      <c r="B229" t="s">
        <v>1052</v>
      </c>
      <c r="C229" t="s">
        <v>171</v>
      </c>
    </row>
    <row r="230" spans="1:3" x14ac:dyDescent="0.2">
      <c r="A230" t="str">
        <f>"00340"</f>
        <v>00340</v>
      </c>
      <c r="B230" t="s">
        <v>353</v>
      </c>
      <c r="C230" t="s">
        <v>272</v>
      </c>
    </row>
    <row r="231" spans="1:3" x14ac:dyDescent="0.2">
      <c r="A231" t="str">
        <f>"00341"</f>
        <v>00341</v>
      </c>
      <c r="B231" t="s">
        <v>354</v>
      </c>
      <c r="C231" t="s">
        <v>101</v>
      </c>
    </row>
    <row r="232" spans="1:3" x14ac:dyDescent="0.2">
      <c r="A232" t="str">
        <f>"00343"</f>
        <v>00343</v>
      </c>
      <c r="B232" t="s">
        <v>1053</v>
      </c>
      <c r="C232" t="s">
        <v>97</v>
      </c>
    </row>
    <row r="233" spans="1:3" x14ac:dyDescent="0.2">
      <c r="A233" t="str">
        <f>"00345"</f>
        <v>00345</v>
      </c>
      <c r="B233" t="s">
        <v>355</v>
      </c>
      <c r="C233" t="s">
        <v>68</v>
      </c>
    </row>
    <row r="234" spans="1:3" x14ac:dyDescent="0.2">
      <c r="A234" t="str">
        <f>"00346"</f>
        <v>00346</v>
      </c>
      <c r="B234" t="s">
        <v>1054</v>
      </c>
      <c r="C234" t="s">
        <v>277</v>
      </c>
    </row>
    <row r="235" spans="1:3" x14ac:dyDescent="0.2">
      <c r="A235" t="str">
        <f>"00347"</f>
        <v>00347</v>
      </c>
      <c r="B235" t="s">
        <v>356</v>
      </c>
      <c r="C235" t="s">
        <v>264</v>
      </c>
    </row>
    <row r="236" spans="1:3" x14ac:dyDescent="0.2">
      <c r="A236" t="str">
        <f>"00351"</f>
        <v>00351</v>
      </c>
      <c r="B236" t="s">
        <v>1055</v>
      </c>
      <c r="C236" t="s">
        <v>220</v>
      </c>
    </row>
    <row r="237" spans="1:3" x14ac:dyDescent="0.2">
      <c r="A237" t="str">
        <f>"00353"</f>
        <v>00353</v>
      </c>
      <c r="B237" t="s">
        <v>1056</v>
      </c>
      <c r="C237" t="s">
        <v>277</v>
      </c>
    </row>
    <row r="238" spans="1:3" x14ac:dyDescent="0.2">
      <c r="A238" t="str">
        <f>"00354"</f>
        <v>00354</v>
      </c>
      <c r="B238" t="s">
        <v>357</v>
      </c>
      <c r="C238" t="s">
        <v>137</v>
      </c>
    </row>
    <row r="239" spans="1:3" x14ac:dyDescent="0.2">
      <c r="A239" t="str">
        <f>"00357"</f>
        <v>00357</v>
      </c>
      <c r="B239" t="s">
        <v>358</v>
      </c>
      <c r="C239" t="s">
        <v>101</v>
      </c>
    </row>
    <row r="240" spans="1:3" x14ac:dyDescent="0.2">
      <c r="A240" t="str">
        <f>"00358"</f>
        <v>00358</v>
      </c>
      <c r="B240" t="s">
        <v>359</v>
      </c>
      <c r="C240" t="s">
        <v>264</v>
      </c>
    </row>
    <row r="241" spans="1:3" x14ac:dyDescent="0.2">
      <c r="A241" t="str">
        <f>"00363"</f>
        <v>00363</v>
      </c>
      <c r="B241" t="s">
        <v>360</v>
      </c>
      <c r="C241" t="s">
        <v>134</v>
      </c>
    </row>
    <row r="242" spans="1:3" x14ac:dyDescent="0.2">
      <c r="A242" t="str">
        <f>"00365"</f>
        <v>00365</v>
      </c>
      <c r="B242" t="s">
        <v>1057</v>
      </c>
      <c r="C242" t="s">
        <v>233</v>
      </c>
    </row>
    <row r="243" spans="1:3" x14ac:dyDescent="0.2">
      <c r="A243" t="str">
        <f>"00366"</f>
        <v>00366</v>
      </c>
      <c r="B243" t="s">
        <v>1058</v>
      </c>
      <c r="C243" t="s">
        <v>162</v>
      </c>
    </row>
    <row r="244" spans="1:3" x14ac:dyDescent="0.2">
      <c r="A244" t="str">
        <f>"00367"</f>
        <v>00367</v>
      </c>
      <c r="B244" t="s">
        <v>1059</v>
      </c>
      <c r="C244" t="s">
        <v>163</v>
      </c>
    </row>
    <row r="245" spans="1:3" x14ac:dyDescent="0.2">
      <c r="A245" t="str">
        <f>"00368"</f>
        <v>00368</v>
      </c>
      <c r="B245" t="s">
        <v>1060</v>
      </c>
      <c r="C245" t="s">
        <v>162</v>
      </c>
    </row>
    <row r="246" spans="1:3" x14ac:dyDescent="0.2">
      <c r="A246" t="str">
        <f>"00369"</f>
        <v>00369</v>
      </c>
      <c r="B246" t="s">
        <v>1061</v>
      </c>
      <c r="C246" t="s">
        <v>163</v>
      </c>
    </row>
    <row r="247" spans="1:3" x14ac:dyDescent="0.2">
      <c r="A247" t="str">
        <f>"00370"</f>
        <v>00370</v>
      </c>
      <c r="B247" t="s">
        <v>361</v>
      </c>
      <c r="C247" t="s">
        <v>162</v>
      </c>
    </row>
    <row r="248" spans="1:3" x14ac:dyDescent="0.2">
      <c r="A248" t="str">
        <f>"00371"</f>
        <v>00371</v>
      </c>
      <c r="B248" t="s">
        <v>362</v>
      </c>
      <c r="C248" t="s">
        <v>208</v>
      </c>
    </row>
    <row r="249" spans="1:3" x14ac:dyDescent="0.2">
      <c r="A249" t="str">
        <f>"00373"</f>
        <v>00373</v>
      </c>
      <c r="B249" t="s">
        <v>1062</v>
      </c>
      <c r="C249" t="s">
        <v>171</v>
      </c>
    </row>
    <row r="250" spans="1:3" x14ac:dyDescent="0.2">
      <c r="A250" t="str">
        <f>"00374"</f>
        <v>00374</v>
      </c>
      <c r="B250" t="s">
        <v>1063</v>
      </c>
      <c r="C250" t="s">
        <v>68</v>
      </c>
    </row>
    <row r="251" spans="1:3" x14ac:dyDescent="0.2">
      <c r="A251" t="str">
        <f>"00375"</f>
        <v>00375</v>
      </c>
      <c r="B251" t="s">
        <v>1064</v>
      </c>
      <c r="C251" t="s">
        <v>112</v>
      </c>
    </row>
    <row r="252" spans="1:3" x14ac:dyDescent="0.2">
      <c r="A252" t="str">
        <f>"00376"</f>
        <v>00376</v>
      </c>
      <c r="B252" t="s">
        <v>363</v>
      </c>
      <c r="C252" t="s">
        <v>188</v>
      </c>
    </row>
    <row r="253" spans="1:3" x14ac:dyDescent="0.2">
      <c r="A253" t="str">
        <f>"00380"</f>
        <v>00380</v>
      </c>
      <c r="B253" t="s">
        <v>1065</v>
      </c>
      <c r="C253" t="s">
        <v>162</v>
      </c>
    </row>
    <row r="254" spans="1:3" x14ac:dyDescent="0.2">
      <c r="A254" t="str">
        <f>"00382"</f>
        <v>00382</v>
      </c>
      <c r="B254" t="s">
        <v>364</v>
      </c>
      <c r="C254" t="s">
        <v>89</v>
      </c>
    </row>
    <row r="255" spans="1:3" x14ac:dyDescent="0.2">
      <c r="A255" t="str">
        <f>"00383"</f>
        <v>00383</v>
      </c>
      <c r="B255" t="s">
        <v>1066</v>
      </c>
      <c r="C255" t="s">
        <v>911</v>
      </c>
    </row>
    <row r="256" spans="1:3" x14ac:dyDescent="0.2">
      <c r="A256" t="str">
        <f>"00384"</f>
        <v>00384</v>
      </c>
      <c r="B256" t="s">
        <v>365</v>
      </c>
      <c r="C256" t="s">
        <v>208</v>
      </c>
    </row>
    <row r="257" spans="1:3" x14ac:dyDescent="0.2">
      <c r="A257" t="str">
        <f>"00385"</f>
        <v>00385</v>
      </c>
      <c r="B257" t="s">
        <v>1067</v>
      </c>
      <c r="C257" t="s">
        <v>162</v>
      </c>
    </row>
    <row r="258" spans="1:3" x14ac:dyDescent="0.2">
      <c r="A258" t="str">
        <f>"00386"</f>
        <v>00386</v>
      </c>
      <c r="B258" t="s">
        <v>366</v>
      </c>
      <c r="C258" t="s">
        <v>277</v>
      </c>
    </row>
    <row r="259" spans="1:3" x14ac:dyDescent="0.2">
      <c r="A259" t="str">
        <f>"00387"</f>
        <v>00387</v>
      </c>
      <c r="B259" t="s">
        <v>1068</v>
      </c>
      <c r="C259" t="s">
        <v>233</v>
      </c>
    </row>
    <row r="260" spans="1:3" x14ac:dyDescent="0.2">
      <c r="A260" t="str">
        <f>"00388"</f>
        <v>00388</v>
      </c>
      <c r="B260" t="s">
        <v>367</v>
      </c>
      <c r="C260" t="s">
        <v>171</v>
      </c>
    </row>
    <row r="261" spans="1:3" x14ac:dyDescent="0.2">
      <c r="A261" t="str">
        <f>"00390"</f>
        <v>00390</v>
      </c>
      <c r="B261" t="s">
        <v>368</v>
      </c>
      <c r="C261" t="s">
        <v>162</v>
      </c>
    </row>
    <row r="262" spans="1:3" x14ac:dyDescent="0.2">
      <c r="A262" t="str">
        <f>"00392"</f>
        <v>00392</v>
      </c>
      <c r="B262" t="s">
        <v>369</v>
      </c>
      <c r="C262" t="s">
        <v>208</v>
      </c>
    </row>
    <row r="263" spans="1:3" x14ac:dyDescent="0.2">
      <c r="A263" t="str">
        <f>"00393"</f>
        <v>00393</v>
      </c>
      <c r="B263" t="s">
        <v>1069</v>
      </c>
      <c r="C263" t="s">
        <v>162</v>
      </c>
    </row>
    <row r="264" spans="1:3" x14ac:dyDescent="0.2">
      <c r="A264" t="str">
        <f>"00396"</f>
        <v>00396</v>
      </c>
      <c r="B264" t="s">
        <v>1070</v>
      </c>
      <c r="C264" t="s">
        <v>120</v>
      </c>
    </row>
    <row r="265" spans="1:3" x14ac:dyDescent="0.2">
      <c r="A265" t="str">
        <f>"00398"</f>
        <v>00398</v>
      </c>
      <c r="B265" t="s">
        <v>370</v>
      </c>
      <c r="C265" t="s">
        <v>81</v>
      </c>
    </row>
    <row r="266" spans="1:3" x14ac:dyDescent="0.2">
      <c r="A266" t="str">
        <f>"00400"</f>
        <v>00400</v>
      </c>
      <c r="B266" t="s">
        <v>371</v>
      </c>
      <c r="C266" t="s">
        <v>135</v>
      </c>
    </row>
    <row r="267" spans="1:3" x14ac:dyDescent="0.2">
      <c r="A267" t="str">
        <f>"00401"</f>
        <v>00401</v>
      </c>
      <c r="B267" t="s">
        <v>1071</v>
      </c>
      <c r="C267" t="s">
        <v>911</v>
      </c>
    </row>
    <row r="268" spans="1:3" x14ac:dyDescent="0.2">
      <c r="A268" t="str">
        <f>"00406"</f>
        <v>00406</v>
      </c>
      <c r="B268" t="s">
        <v>1072</v>
      </c>
      <c r="C268" t="s">
        <v>162</v>
      </c>
    </row>
    <row r="269" spans="1:3" x14ac:dyDescent="0.2">
      <c r="A269" t="str">
        <f>"00408"</f>
        <v>00408</v>
      </c>
      <c r="B269" t="s">
        <v>1073</v>
      </c>
      <c r="C269" t="s">
        <v>257</v>
      </c>
    </row>
    <row r="270" spans="1:3" x14ac:dyDescent="0.2">
      <c r="A270" t="str">
        <f>"00410"</f>
        <v>00410</v>
      </c>
      <c r="B270" t="s">
        <v>1074</v>
      </c>
      <c r="C270" t="s">
        <v>163</v>
      </c>
    </row>
    <row r="271" spans="1:3" x14ac:dyDescent="0.2">
      <c r="A271" t="str">
        <f>"00411"</f>
        <v>00411</v>
      </c>
      <c r="B271" t="s">
        <v>1075</v>
      </c>
      <c r="C271" t="s">
        <v>66</v>
      </c>
    </row>
    <row r="272" spans="1:3" x14ac:dyDescent="0.2">
      <c r="A272" t="str">
        <f>"00412"</f>
        <v>00412</v>
      </c>
      <c r="B272" t="s">
        <v>372</v>
      </c>
      <c r="C272" t="s">
        <v>171</v>
      </c>
    </row>
    <row r="273" spans="1:3" x14ac:dyDescent="0.2">
      <c r="A273" t="str">
        <f>"00417"</f>
        <v>00417</v>
      </c>
      <c r="B273" t="s">
        <v>1076</v>
      </c>
      <c r="C273" t="s">
        <v>81</v>
      </c>
    </row>
    <row r="274" spans="1:3" x14ac:dyDescent="0.2">
      <c r="A274" t="str">
        <f>"00418"</f>
        <v>00418</v>
      </c>
      <c r="B274" t="s">
        <v>1077</v>
      </c>
      <c r="C274" t="s">
        <v>137</v>
      </c>
    </row>
    <row r="275" spans="1:3" x14ac:dyDescent="0.2">
      <c r="A275" t="str">
        <f>"00419"</f>
        <v>00419</v>
      </c>
      <c r="B275" t="s">
        <v>1078</v>
      </c>
      <c r="C275" t="s">
        <v>137</v>
      </c>
    </row>
    <row r="276" spans="1:3" x14ac:dyDescent="0.2">
      <c r="A276" t="str">
        <f>"00420"</f>
        <v>00420</v>
      </c>
      <c r="B276" t="s">
        <v>1079</v>
      </c>
      <c r="C276" t="s">
        <v>112</v>
      </c>
    </row>
    <row r="277" spans="1:3" x14ac:dyDescent="0.2">
      <c r="A277" t="str">
        <f>"00422"</f>
        <v>00422</v>
      </c>
      <c r="B277" t="s">
        <v>1080</v>
      </c>
      <c r="C277" t="s">
        <v>127</v>
      </c>
    </row>
    <row r="278" spans="1:3" x14ac:dyDescent="0.2">
      <c r="A278" t="str">
        <f>"00423"</f>
        <v>00423</v>
      </c>
      <c r="B278" t="s">
        <v>1081</v>
      </c>
      <c r="C278" t="s">
        <v>97</v>
      </c>
    </row>
    <row r="279" spans="1:3" x14ac:dyDescent="0.2">
      <c r="A279" t="str">
        <f>"00425"</f>
        <v>00425</v>
      </c>
      <c r="B279" t="s">
        <v>373</v>
      </c>
      <c r="C279" t="s">
        <v>127</v>
      </c>
    </row>
    <row r="280" spans="1:3" x14ac:dyDescent="0.2">
      <c r="A280" t="str">
        <f>"00430"</f>
        <v>00430</v>
      </c>
      <c r="B280" t="s">
        <v>1082</v>
      </c>
      <c r="C280" t="s">
        <v>163</v>
      </c>
    </row>
    <row r="281" spans="1:3" x14ac:dyDescent="0.2">
      <c r="A281" t="str">
        <f>"00432"</f>
        <v>00432</v>
      </c>
      <c r="B281" t="s">
        <v>1083</v>
      </c>
      <c r="C281" t="s">
        <v>163</v>
      </c>
    </row>
    <row r="282" spans="1:3" x14ac:dyDescent="0.2">
      <c r="A282" t="str">
        <f>"00434"</f>
        <v>00434</v>
      </c>
      <c r="B282" t="s">
        <v>374</v>
      </c>
      <c r="C282" t="s">
        <v>137</v>
      </c>
    </row>
    <row r="283" spans="1:3" x14ac:dyDescent="0.2">
      <c r="A283" t="str">
        <f>"00438"</f>
        <v>00438</v>
      </c>
      <c r="B283" t="s">
        <v>1084</v>
      </c>
      <c r="C283" t="s">
        <v>233</v>
      </c>
    </row>
    <row r="284" spans="1:3" x14ac:dyDescent="0.2">
      <c r="A284" t="str">
        <f>"00439"</f>
        <v>00439</v>
      </c>
      <c r="B284" t="s">
        <v>1085</v>
      </c>
      <c r="C284" t="s">
        <v>137</v>
      </c>
    </row>
    <row r="285" spans="1:3" x14ac:dyDescent="0.2">
      <c r="A285" t="str">
        <f>"00440"</f>
        <v>00440</v>
      </c>
      <c r="B285" t="s">
        <v>375</v>
      </c>
      <c r="C285" t="s">
        <v>196</v>
      </c>
    </row>
    <row r="286" spans="1:3" x14ac:dyDescent="0.2">
      <c r="A286" t="str">
        <f>"00442"</f>
        <v>00442</v>
      </c>
      <c r="B286" t="s">
        <v>1086</v>
      </c>
      <c r="C286" t="s">
        <v>112</v>
      </c>
    </row>
    <row r="287" spans="1:3" x14ac:dyDescent="0.2">
      <c r="A287" t="str">
        <f>"00450"</f>
        <v>00450</v>
      </c>
      <c r="B287" t="s">
        <v>1087</v>
      </c>
      <c r="C287" t="s">
        <v>217</v>
      </c>
    </row>
    <row r="288" spans="1:3" x14ac:dyDescent="0.2">
      <c r="A288" t="str">
        <f>"00451"</f>
        <v>00451</v>
      </c>
      <c r="B288" t="s">
        <v>740</v>
      </c>
      <c r="C288" t="s">
        <v>208</v>
      </c>
    </row>
    <row r="289" spans="1:3" x14ac:dyDescent="0.2">
      <c r="A289" t="str">
        <f>"00456"</f>
        <v>00456</v>
      </c>
      <c r="B289" t="s">
        <v>1088</v>
      </c>
      <c r="C289" t="s">
        <v>163</v>
      </c>
    </row>
    <row r="290" spans="1:3" x14ac:dyDescent="0.2">
      <c r="A290" t="str">
        <f>"00458"</f>
        <v>00458</v>
      </c>
      <c r="B290" t="s">
        <v>1089</v>
      </c>
      <c r="C290" t="s">
        <v>112</v>
      </c>
    </row>
    <row r="291" spans="1:3" x14ac:dyDescent="0.2">
      <c r="A291" t="str">
        <f>"00460"</f>
        <v>00460</v>
      </c>
      <c r="B291" t="s">
        <v>376</v>
      </c>
      <c r="C291" t="s">
        <v>25</v>
      </c>
    </row>
    <row r="292" spans="1:3" x14ac:dyDescent="0.2">
      <c r="A292" t="str">
        <f>"00464"</f>
        <v>00464</v>
      </c>
      <c r="B292" t="s">
        <v>741</v>
      </c>
      <c r="C292" t="s">
        <v>120</v>
      </c>
    </row>
    <row r="293" spans="1:3" x14ac:dyDescent="0.2">
      <c r="A293" t="str">
        <f>"00465"</f>
        <v>00465</v>
      </c>
      <c r="B293" t="s">
        <v>1090</v>
      </c>
      <c r="C293" t="s">
        <v>137</v>
      </c>
    </row>
    <row r="294" spans="1:3" x14ac:dyDescent="0.2">
      <c r="A294" t="str">
        <f>"00467"</f>
        <v>00467</v>
      </c>
      <c r="B294" t="s">
        <v>377</v>
      </c>
      <c r="C294" t="s">
        <v>277</v>
      </c>
    </row>
    <row r="295" spans="1:3" x14ac:dyDescent="0.2">
      <c r="A295" t="str">
        <f>"00468"</f>
        <v>00468</v>
      </c>
      <c r="B295" t="s">
        <v>1091</v>
      </c>
      <c r="C295" t="s">
        <v>217</v>
      </c>
    </row>
    <row r="296" spans="1:3" x14ac:dyDescent="0.2">
      <c r="A296" t="str">
        <f>"00470"</f>
        <v>00470</v>
      </c>
      <c r="B296" t="s">
        <v>1092</v>
      </c>
      <c r="C296" t="s">
        <v>233</v>
      </c>
    </row>
    <row r="297" spans="1:3" x14ac:dyDescent="0.2">
      <c r="A297" t="str">
        <f>"00472"</f>
        <v>00472</v>
      </c>
      <c r="B297" t="s">
        <v>1093</v>
      </c>
      <c r="C297" t="s">
        <v>163</v>
      </c>
    </row>
    <row r="298" spans="1:3" x14ac:dyDescent="0.2">
      <c r="A298" t="str">
        <f>"00474"</f>
        <v>00474</v>
      </c>
      <c r="B298" t="s">
        <v>1094</v>
      </c>
      <c r="C298" t="s">
        <v>233</v>
      </c>
    </row>
    <row r="299" spans="1:3" x14ac:dyDescent="0.2">
      <c r="A299" t="str">
        <f>"00475"</f>
        <v>00475</v>
      </c>
      <c r="B299" t="s">
        <v>1095</v>
      </c>
      <c r="C299" t="s">
        <v>233</v>
      </c>
    </row>
    <row r="300" spans="1:3" x14ac:dyDescent="0.2">
      <c r="A300" t="str">
        <f>"00476"</f>
        <v>00476</v>
      </c>
      <c r="B300" t="s">
        <v>1096</v>
      </c>
      <c r="C300" t="s">
        <v>233</v>
      </c>
    </row>
    <row r="301" spans="1:3" x14ac:dyDescent="0.2">
      <c r="A301" t="str">
        <f>"00480"</f>
        <v>00480</v>
      </c>
      <c r="B301" t="s">
        <v>1097</v>
      </c>
      <c r="C301" t="s">
        <v>163</v>
      </c>
    </row>
    <row r="302" spans="1:3" x14ac:dyDescent="0.2">
      <c r="A302" t="str">
        <f>"00482"</f>
        <v>00482</v>
      </c>
      <c r="B302" t="s">
        <v>1098</v>
      </c>
      <c r="C302" t="s">
        <v>120</v>
      </c>
    </row>
    <row r="303" spans="1:3" x14ac:dyDescent="0.2">
      <c r="A303" t="str">
        <f>"00484"</f>
        <v>00484</v>
      </c>
      <c r="B303" t="s">
        <v>1099</v>
      </c>
      <c r="C303" t="s">
        <v>154</v>
      </c>
    </row>
    <row r="304" spans="1:3" x14ac:dyDescent="0.2">
      <c r="A304" t="str">
        <f>"00485"</f>
        <v>00485</v>
      </c>
      <c r="B304" t="s">
        <v>1100</v>
      </c>
      <c r="C304" t="s">
        <v>163</v>
      </c>
    </row>
    <row r="305" spans="1:3" x14ac:dyDescent="0.2">
      <c r="A305" t="str">
        <f>"00486"</f>
        <v>00486</v>
      </c>
      <c r="B305" t="s">
        <v>378</v>
      </c>
      <c r="C305" t="s">
        <v>264</v>
      </c>
    </row>
    <row r="306" spans="1:3" x14ac:dyDescent="0.2">
      <c r="A306" t="str">
        <f>"00488"</f>
        <v>00488</v>
      </c>
      <c r="B306" t="s">
        <v>1101</v>
      </c>
      <c r="C306" t="s">
        <v>134</v>
      </c>
    </row>
    <row r="307" spans="1:3" x14ac:dyDescent="0.2">
      <c r="A307" t="str">
        <f>"00496"</f>
        <v>00496</v>
      </c>
      <c r="B307" t="s">
        <v>1102</v>
      </c>
      <c r="C307" t="s">
        <v>120</v>
      </c>
    </row>
    <row r="308" spans="1:3" x14ac:dyDescent="0.2">
      <c r="A308" t="str">
        <f>"00497"</f>
        <v>00497</v>
      </c>
      <c r="B308" t="s">
        <v>1103</v>
      </c>
      <c r="C308" t="s">
        <v>163</v>
      </c>
    </row>
    <row r="309" spans="1:3" x14ac:dyDescent="0.2">
      <c r="A309" t="str">
        <f>"00499"</f>
        <v>00499</v>
      </c>
      <c r="B309" t="s">
        <v>1104</v>
      </c>
      <c r="C309" t="s">
        <v>89</v>
      </c>
    </row>
    <row r="310" spans="1:3" x14ac:dyDescent="0.2">
      <c r="A310" t="str">
        <f>"00501"</f>
        <v>00501</v>
      </c>
      <c r="B310" t="s">
        <v>1105</v>
      </c>
      <c r="C310" t="s">
        <v>135</v>
      </c>
    </row>
    <row r="311" spans="1:3" x14ac:dyDescent="0.2">
      <c r="A311" t="str">
        <f>"00505"</f>
        <v>00505</v>
      </c>
      <c r="B311" t="s">
        <v>1106</v>
      </c>
      <c r="C311" t="s">
        <v>264</v>
      </c>
    </row>
    <row r="312" spans="1:3" x14ac:dyDescent="0.2">
      <c r="A312" t="str">
        <f>"00506"</f>
        <v>00506</v>
      </c>
      <c r="B312" t="s">
        <v>379</v>
      </c>
      <c r="C312" t="s">
        <v>68</v>
      </c>
    </row>
    <row r="313" spans="1:3" x14ac:dyDescent="0.2">
      <c r="A313" t="str">
        <f>"00508"</f>
        <v>00508</v>
      </c>
      <c r="B313" t="s">
        <v>1107</v>
      </c>
      <c r="C313" t="s">
        <v>163</v>
      </c>
    </row>
    <row r="314" spans="1:3" x14ac:dyDescent="0.2">
      <c r="A314" t="str">
        <f>"00510"</f>
        <v>00510</v>
      </c>
      <c r="B314" t="s">
        <v>1108</v>
      </c>
      <c r="C314" t="s">
        <v>171</v>
      </c>
    </row>
    <row r="315" spans="1:3" x14ac:dyDescent="0.2">
      <c r="A315" t="str">
        <f>"00511"</f>
        <v>00511</v>
      </c>
      <c r="B315" t="s">
        <v>1109</v>
      </c>
      <c r="C315" t="s">
        <v>97</v>
      </c>
    </row>
    <row r="316" spans="1:3" x14ac:dyDescent="0.2">
      <c r="A316" t="str">
        <f>"00512"</f>
        <v>00512</v>
      </c>
      <c r="B316" t="s">
        <v>380</v>
      </c>
      <c r="C316" t="s">
        <v>25</v>
      </c>
    </row>
    <row r="317" spans="1:3" x14ac:dyDescent="0.2">
      <c r="A317" t="str">
        <f>"00513"</f>
        <v>00513</v>
      </c>
      <c r="B317" t="s">
        <v>1110</v>
      </c>
      <c r="C317" t="s">
        <v>112</v>
      </c>
    </row>
    <row r="318" spans="1:3" x14ac:dyDescent="0.2">
      <c r="A318" t="str">
        <f>"00517"</f>
        <v>00517</v>
      </c>
      <c r="B318" t="s">
        <v>381</v>
      </c>
      <c r="C318" t="s">
        <v>233</v>
      </c>
    </row>
    <row r="319" spans="1:3" x14ac:dyDescent="0.2">
      <c r="A319" t="str">
        <f>"00519"</f>
        <v>00519</v>
      </c>
      <c r="B319" t="s">
        <v>1111</v>
      </c>
      <c r="C319" t="s">
        <v>163</v>
      </c>
    </row>
    <row r="320" spans="1:3" x14ac:dyDescent="0.2">
      <c r="A320" t="str">
        <f>"00520"</f>
        <v>00520</v>
      </c>
      <c r="B320" t="s">
        <v>382</v>
      </c>
      <c r="C320" t="s">
        <v>101</v>
      </c>
    </row>
    <row r="321" spans="1:3" x14ac:dyDescent="0.2">
      <c r="A321" t="str">
        <f>"00521"</f>
        <v>00521</v>
      </c>
      <c r="B321" t="s">
        <v>1112</v>
      </c>
      <c r="C321" t="s">
        <v>264</v>
      </c>
    </row>
    <row r="322" spans="1:3" x14ac:dyDescent="0.2">
      <c r="A322" t="str">
        <f>"00522"</f>
        <v>00522</v>
      </c>
      <c r="B322" t="s">
        <v>383</v>
      </c>
      <c r="C322" t="s">
        <v>135</v>
      </c>
    </row>
    <row r="323" spans="1:3" x14ac:dyDescent="0.2">
      <c r="A323" t="str">
        <f>"00524"</f>
        <v>00524</v>
      </c>
      <c r="B323" t="s">
        <v>1113</v>
      </c>
      <c r="C323" t="s">
        <v>215</v>
      </c>
    </row>
    <row r="324" spans="1:3" x14ac:dyDescent="0.2">
      <c r="A324" t="str">
        <f>"00525"</f>
        <v>00525</v>
      </c>
      <c r="B324" t="s">
        <v>384</v>
      </c>
      <c r="C324" t="s">
        <v>101</v>
      </c>
    </row>
    <row r="325" spans="1:3" x14ac:dyDescent="0.2">
      <c r="A325" t="str">
        <f>"00526"</f>
        <v>00526</v>
      </c>
      <c r="B325" t="s">
        <v>1114</v>
      </c>
      <c r="C325" t="s">
        <v>120</v>
      </c>
    </row>
    <row r="326" spans="1:3" x14ac:dyDescent="0.2">
      <c r="A326" t="str">
        <f>"00527"</f>
        <v>00527</v>
      </c>
      <c r="B326" t="s">
        <v>742</v>
      </c>
      <c r="C326" t="s">
        <v>208</v>
      </c>
    </row>
    <row r="327" spans="1:3" x14ac:dyDescent="0.2">
      <c r="A327" t="str">
        <f>"00528"</f>
        <v>00528</v>
      </c>
      <c r="B327" t="s">
        <v>1115</v>
      </c>
      <c r="C327" t="s">
        <v>112</v>
      </c>
    </row>
    <row r="328" spans="1:3" x14ac:dyDescent="0.2">
      <c r="A328" t="str">
        <f>"00529"</f>
        <v>00529</v>
      </c>
      <c r="B328" t="s">
        <v>1116</v>
      </c>
      <c r="C328" t="s">
        <v>154</v>
      </c>
    </row>
    <row r="329" spans="1:3" x14ac:dyDescent="0.2">
      <c r="A329" t="str">
        <f>"00532"</f>
        <v>00532</v>
      </c>
      <c r="B329" t="s">
        <v>1117</v>
      </c>
      <c r="C329" t="s">
        <v>233</v>
      </c>
    </row>
    <row r="330" spans="1:3" x14ac:dyDescent="0.2">
      <c r="A330" t="str">
        <f>"00533"</f>
        <v>00533</v>
      </c>
      <c r="B330" t="s">
        <v>1118</v>
      </c>
      <c r="C330" t="s">
        <v>112</v>
      </c>
    </row>
    <row r="331" spans="1:3" x14ac:dyDescent="0.2">
      <c r="A331" t="str">
        <f>"00536"</f>
        <v>00536</v>
      </c>
      <c r="B331" t="s">
        <v>1119</v>
      </c>
      <c r="C331" t="s">
        <v>137</v>
      </c>
    </row>
    <row r="332" spans="1:3" x14ac:dyDescent="0.2">
      <c r="A332" t="str">
        <f>"00538"</f>
        <v>00538</v>
      </c>
      <c r="B332" t="s">
        <v>1120</v>
      </c>
      <c r="C332" t="s">
        <v>101</v>
      </c>
    </row>
    <row r="333" spans="1:3" x14ac:dyDescent="0.2">
      <c r="A333" t="str">
        <f>"00540"</f>
        <v>00540</v>
      </c>
      <c r="B333" t="s">
        <v>1121</v>
      </c>
      <c r="C333" t="s">
        <v>112</v>
      </c>
    </row>
    <row r="334" spans="1:3" x14ac:dyDescent="0.2">
      <c r="A334" t="str">
        <f>"00542"</f>
        <v>00542</v>
      </c>
      <c r="B334" t="s">
        <v>1122</v>
      </c>
      <c r="C334" t="s">
        <v>163</v>
      </c>
    </row>
    <row r="335" spans="1:3" x14ac:dyDescent="0.2">
      <c r="A335" t="str">
        <f>"00543"</f>
        <v>00543</v>
      </c>
      <c r="B335" t="s">
        <v>1123</v>
      </c>
      <c r="C335" t="s">
        <v>81</v>
      </c>
    </row>
    <row r="336" spans="1:3" x14ac:dyDescent="0.2">
      <c r="A336" t="str">
        <f>"00546"</f>
        <v>00546</v>
      </c>
      <c r="B336" t="s">
        <v>385</v>
      </c>
      <c r="C336" t="s">
        <v>68</v>
      </c>
    </row>
    <row r="337" spans="1:3" x14ac:dyDescent="0.2">
      <c r="A337" t="str">
        <f>"00547"</f>
        <v>00547</v>
      </c>
      <c r="B337" t="s">
        <v>1124</v>
      </c>
      <c r="C337" t="s">
        <v>97</v>
      </c>
    </row>
    <row r="338" spans="1:3" x14ac:dyDescent="0.2">
      <c r="A338" t="str">
        <f>"00548"</f>
        <v>00548</v>
      </c>
      <c r="B338" t="s">
        <v>386</v>
      </c>
      <c r="C338" t="s">
        <v>220</v>
      </c>
    </row>
    <row r="339" spans="1:3" x14ac:dyDescent="0.2">
      <c r="A339" t="str">
        <f>"00550"</f>
        <v>00550</v>
      </c>
      <c r="B339" t="s">
        <v>1125</v>
      </c>
      <c r="C339" t="s">
        <v>97</v>
      </c>
    </row>
    <row r="340" spans="1:3" x14ac:dyDescent="0.2">
      <c r="A340" t="str">
        <f>"00551"</f>
        <v>00551</v>
      </c>
      <c r="B340" t="s">
        <v>387</v>
      </c>
      <c r="C340" t="s">
        <v>112</v>
      </c>
    </row>
    <row r="341" spans="1:3" x14ac:dyDescent="0.2">
      <c r="A341" t="str">
        <f>"00552"</f>
        <v>00552</v>
      </c>
      <c r="B341" t="s">
        <v>388</v>
      </c>
      <c r="C341" t="s">
        <v>154</v>
      </c>
    </row>
    <row r="342" spans="1:3" x14ac:dyDescent="0.2">
      <c r="A342" t="str">
        <f>"00553"</f>
        <v>00553</v>
      </c>
      <c r="B342" t="s">
        <v>389</v>
      </c>
      <c r="C342" t="s">
        <v>137</v>
      </c>
    </row>
    <row r="343" spans="1:3" x14ac:dyDescent="0.2">
      <c r="A343" t="str">
        <f>"00554"</f>
        <v>00554</v>
      </c>
      <c r="B343" t="s">
        <v>1126</v>
      </c>
      <c r="C343" t="s">
        <v>277</v>
      </c>
    </row>
    <row r="344" spans="1:3" x14ac:dyDescent="0.2">
      <c r="A344" t="str">
        <f>"00556"</f>
        <v>00556</v>
      </c>
      <c r="B344" t="s">
        <v>1127</v>
      </c>
      <c r="C344" t="s">
        <v>233</v>
      </c>
    </row>
    <row r="345" spans="1:3" x14ac:dyDescent="0.2">
      <c r="A345" t="str">
        <f>"00557"</f>
        <v>00557</v>
      </c>
      <c r="B345" t="s">
        <v>1128</v>
      </c>
      <c r="C345" t="s">
        <v>911</v>
      </c>
    </row>
    <row r="346" spans="1:3" x14ac:dyDescent="0.2">
      <c r="A346" t="str">
        <f>"00558"</f>
        <v>00558</v>
      </c>
      <c r="B346" t="s">
        <v>390</v>
      </c>
      <c r="C346" t="s">
        <v>233</v>
      </c>
    </row>
    <row r="347" spans="1:3" x14ac:dyDescent="0.2">
      <c r="A347" t="str">
        <f>"00560"</f>
        <v>00560</v>
      </c>
      <c r="B347" t="s">
        <v>1129</v>
      </c>
      <c r="C347" t="s">
        <v>220</v>
      </c>
    </row>
    <row r="348" spans="1:3" x14ac:dyDescent="0.2">
      <c r="A348" t="str">
        <f>"00563"</f>
        <v>00563</v>
      </c>
      <c r="B348" t="s">
        <v>1130</v>
      </c>
      <c r="C348" t="s">
        <v>163</v>
      </c>
    </row>
    <row r="349" spans="1:3" x14ac:dyDescent="0.2">
      <c r="A349" t="str">
        <f>"00564"</f>
        <v>00564</v>
      </c>
      <c r="B349" t="s">
        <v>743</v>
      </c>
      <c r="C349" t="s">
        <v>127</v>
      </c>
    </row>
    <row r="350" spans="1:3" x14ac:dyDescent="0.2">
      <c r="A350" t="str">
        <f>"00565"</f>
        <v>00565</v>
      </c>
      <c r="B350" t="s">
        <v>744</v>
      </c>
      <c r="C350" t="s">
        <v>163</v>
      </c>
    </row>
    <row r="351" spans="1:3" x14ac:dyDescent="0.2">
      <c r="A351" t="str">
        <f>"00567"</f>
        <v>00567</v>
      </c>
      <c r="B351" t="s">
        <v>1131</v>
      </c>
      <c r="C351" t="s">
        <v>217</v>
      </c>
    </row>
    <row r="352" spans="1:3" x14ac:dyDescent="0.2">
      <c r="A352" t="str">
        <f>"00568"</f>
        <v>00568</v>
      </c>
      <c r="B352" t="s">
        <v>391</v>
      </c>
      <c r="C352" t="s">
        <v>277</v>
      </c>
    </row>
    <row r="353" spans="1:3" x14ac:dyDescent="0.2">
      <c r="A353" t="str">
        <f>"00570"</f>
        <v>00570</v>
      </c>
      <c r="B353" t="s">
        <v>392</v>
      </c>
      <c r="C353" t="s">
        <v>25</v>
      </c>
    </row>
    <row r="354" spans="1:3" x14ac:dyDescent="0.2">
      <c r="A354" t="str">
        <f>"00572"</f>
        <v>00572</v>
      </c>
      <c r="B354" t="s">
        <v>1132</v>
      </c>
      <c r="C354" t="s">
        <v>163</v>
      </c>
    </row>
    <row r="355" spans="1:3" x14ac:dyDescent="0.2">
      <c r="A355" t="str">
        <f>"00573"</f>
        <v>00573</v>
      </c>
      <c r="B355" t="s">
        <v>1133</v>
      </c>
      <c r="C355" t="s">
        <v>101</v>
      </c>
    </row>
    <row r="356" spans="1:3" x14ac:dyDescent="0.2">
      <c r="A356" t="str">
        <f>"00575"</f>
        <v>00575</v>
      </c>
      <c r="B356" t="s">
        <v>1134</v>
      </c>
      <c r="C356" t="s">
        <v>25</v>
      </c>
    </row>
    <row r="357" spans="1:3" x14ac:dyDescent="0.2">
      <c r="A357" t="str">
        <f>"00576"</f>
        <v>00576</v>
      </c>
      <c r="B357" t="s">
        <v>393</v>
      </c>
      <c r="C357" t="s">
        <v>220</v>
      </c>
    </row>
    <row r="358" spans="1:3" x14ac:dyDescent="0.2">
      <c r="A358" t="str">
        <f>"00579"</f>
        <v>00579</v>
      </c>
      <c r="B358" t="s">
        <v>394</v>
      </c>
      <c r="C358" t="s">
        <v>208</v>
      </c>
    </row>
    <row r="359" spans="1:3" x14ac:dyDescent="0.2">
      <c r="A359" t="str">
        <f>"00580"</f>
        <v>00580</v>
      </c>
      <c r="B359" t="s">
        <v>395</v>
      </c>
      <c r="C359" t="s">
        <v>233</v>
      </c>
    </row>
    <row r="360" spans="1:3" x14ac:dyDescent="0.2">
      <c r="A360" t="str">
        <f>"00581"</f>
        <v>00581</v>
      </c>
      <c r="B360" t="s">
        <v>396</v>
      </c>
      <c r="C360" t="s">
        <v>264</v>
      </c>
    </row>
    <row r="361" spans="1:3" x14ac:dyDescent="0.2">
      <c r="A361" t="str">
        <f>"00583"</f>
        <v>00583</v>
      </c>
      <c r="B361" t="s">
        <v>1135</v>
      </c>
      <c r="C361" t="s">
        <v>163</v>
      </c>
    </row>
    <row r="362" spans="1:3" x14ac:dyDescent="0.2">
      <c r="A362" t="str">
        <f>"00585"</f>
        <v>00585</v>
      </c>
      <c r="B362" t="s">
        <v>1136</v>
      </c>
      <c r="C362" t="s">
        <v>171</v>
      </c>
    </row>
    <row r="363" spans="1:3" x14ac:dyDescent="0.2">
      <c r="A363" t="str">
        <f>"00586"</f>
        <v>00586</v>
      </c>
      <c r="B363" t="s">
        <v>397</v>
      </c>
      <c r="C363" t="s">
        <v>233</v>
      </c>
    </row>
    <row r="364" spans="1:3" x14ac:dyDescent="0.2">
      <c r="A364" t="str">
        <f>"00587"</f>
        <v>00587</v>
      </c>
      <c r="B364" t="s">
        <v>398</v>
      </c>
      <c r="C364" t="s">
        <v>233</v>
      </c>
    </row>
    <row r="365" spans="1:3" x14ac:dyDescent="0.2">
      <c r="A365" t="str">
        <f>"00588"</f>
        <v>00588</v>
      </c>
      <c r="B365" t="s">
        <v>745</v>
      </c>
      <c r="C365" t="s">
        <v>163</v>
      </c>
    </row>
    <row r="366" spans="1:3" x14ac:dyDescent="0.2">
      <c r="A366" t="str">
        <f>"00590"</f>
        <v>00590</v>
      </c>
      <c r="B366" t="s">
        <v>399</v>
      </c>
      <c r="C366" t="s">
        <v>81</v>
      </c>
    </row>
    <row r="367" spans="1:3" x14ac:dyDescent="0.2">
      <c r="A367" t="str">
        <f>"00591"</f>
        <v>00591</v>
      </c>
      <c r="B367" t="s">
        <v>1137</v>
      </c>
      <c r="C367" t="s">
        <v>233</v>
      </c>
    </row>
    <row r="368" spans="1:3" x14ac:dyDescent="0.2">
      <c r="A368" t="str">
        <f>"00595"</f>
        <v>00595</v>
      </c>
      <c r="B368" t="s">
        <v>1138</v>
      </c>
      <c r="C368" t="s">
        <v>135</v>
      </c>
    </row>
    <row r="369" spans="1:3" x14ac:dyDescent="0.2">
      <c r="A369" t="str">
        <f>"00596"</f>
        <v>00596</v>
      </c>
      <c r="B369" t="s">
        <v>400</v>
      </c>
      <c r="C369" t="s">
        <v>137</v>
      </c>
    </row>
    <row r="370" spans="1:3" x14ac:dyDescent="0.2">
      <c r="A370" t="str">
        <f>"00598"</f>
        <v>00598</v>
      </c>
      <c r="B370" t="s">
        <v>401</v>
      </c>
      <c r="C370" t="s">
        <v>220</v>
      </c>
    </row>
    <row r="371" spans="1:3" x14ac:dyDescent="0.2">
      <c r="A371" t="str">
        <f>"00600"</f>
        <v>00600</v>
      </c>
      <c r="B371" t="s">
        <v>1139</v>
      </c>
      <c r="C371" t="s">
        <v>135</v>
      </c>
    </row>
    <row r="372" spans="1:3" x14ac:dyDescent="0.2">
      <c r="A372" t="str">
        <f>"00603"</f>
        <v>00603</v>
      </c>
      <c r="B372" t="s">
        <v>1140</v>
      </c>
      <c r="C372" t="s">
        <v>208</v>
      </c>
    </row>
    <row r="373" spans="1:3" x14ac:dyDescent="0.2">
      <c r="A373" t="str">
        <f>"00604"</f>
        <v>00604</v>
      </c>
      <c r="B373" t="s">
        <v>746</v>
      </c>
      <c r="C373" t="s">
        <v>163</v>
      </c>
    </row>
    <row r="374" spans="1:3" x14ac:dyDescent="0.2">
      <c r="A374" t="str">
        <f>"00605"</f>
        <v>00605</v>
      </c>
      <c r="B374" t="s">
        <v>1141</v>
      </c>
      <c r="C374" t="s">
        <v>171</v>
      </c>
    </row>
    <row r="375" spans="1:3" x14ac:dyDescent="0.2">
      <c r="A375" t="str">
        <f>"00606"</f>
        <v>00606</v>
      </c>
      <c r="B375" t="s">
        <v>1142</v>
      </c>
      <c r="C375" t="s">
        <v>163</v>
      </c>
    </row>
    <row r="376" spans="1:3" x14ac:dyDescent="0.2">
      <c r="A376" t="str">
        <f>"00607"</f>
        <v>00607</v>
      </c>
      <c r="B376" t="s">
        <v>1143</v>
      </c>
      <c r="C376" t="s">
        <v>233</v>
      </c>
    </row>
    <row r="377" spans="1:3" x14ac:dyDescent="0.2">
      <c r="A377" t="str">
        <f>"00608"</f>
        <v>00608</v>
      </c>
      <c r="B377" t="s">
        <v>1144</v>
      </c>
      <c r="C377" t="s">
        <v>112</v>
      </c>
    </row>
    <row r="378" spans="1:3" x14ac:dyDescent="0.2">
      <c r="A378" t="str">
        <f>"00609"</f>
        <v>00609</v>
      </c>
      <c r="B378" t="s">
        <v>1145</v>
      </c>
      <c r="C378" t="s">
        <v>257</v>
      </c>
    </row>
    <row r="379" spans="1:3" x14ac:dyDescent="0.2">
      <c r="A379" t="str">
        <f>"00610"</f>
        <v>00610</v>
      </c>
      <c r="B379" t="s">
        <v>1146</v>
      </c>
      <c r="C379" t="s">
        <v>162</v>
      </c>
    </row>
    <row r="380" spans="1:3" x14ac:dyDescent="0.2">
      <c r="A380" t="str">
        <f>"00611"</f>
        <v>00611</v>
      </c>
      <c r="B380" t="s">
        <v>747</v>
      </c>
      <c r="C380" t="s">
        <v>208</v>
      </c>
    </row>
    <row r="381" spans="1:3" x14ac:dyDescent="0.2">
      <c r="A381" t="str">
        <f>"00612"</f>
        <v>00612</v>
      </c>
      <c r="B381" t="s">
        <v>1147</v>
      </c>
      <c r="C381" t="s">
        <v>171</v>
      </c>
    </row>
    <row r="382" spans="1:3" x14ac:dyDescent="0.2">
      <c r="A382" t="str">
        <f>"00613"</f>
        <v>00613</v>
      </c>
      <c r="B382" t="s">
        <v>1148</v>
      </c>
      <c r="C382" t="s">
        <v>171</v>
      </c>
    </row>
    <row r="383" spans="1:3" x14ac:dyDescent="0.2">
      <c r="A383" t="str">
        <f>"00616"</f>
        <v>00616</v>
      </c>
      <c r="B383" t="s">
        <v>1149</v>
      </c>
      <c r="C383" t="s">
        <v>163</v>
      </c>
    </row>
    <row r="384" spans="1:3" x14ac:dyDescent="0.2">
      <c r="A384" t="str">
        <f>"00617"</f>
        <v>00617</v>
      </c>
      <c r="B384" t="s">
        <v>1150</v>
      </c>
      <c r="C384" t="s">
        <v>101</v>
      </c>
    </row>
    <row r="385" spans="1:3" x14ac:dyDescent="0.2">
      <c r="A385" t="str">
        <f>"00618"</f>
        <v>00618</v>
      </c>
      <c r="B385" t="s">
        <v>1151</v>
      </c>
      <c r="C385" t="s">
        <v>81</v>
      </c>
    </row>
    <row r="386" spans="1:3" x14ac:dyDescent="0.2">
      <c r="A386" t="str">
        <f>"00620"</f>
        <v>00620</v>
      </c>
      <c r="B386" t="s">
        <v>1152</v>
      </c>
      <c r="C386" t="s">
        <v>89</v>
      </c>
    </row>
    <row r="387" spans="1:3" x14ac:dyDescent="0.2">
      <c r="A387" t="str">
        <f>"00621"</f>
        <v>00621</v>
      </c>
      <c r="B387" t="s">
        <v>748</v>
      </c>
      <c r="C387" t="s">
        <v>272</v>
      </c>
    </row>
    <row r="388" spans="1:3" x14ac:dyDescent="0.2">
      <c r="A388" t="str">
        <f>"00622"</f>
        <v>00622</v>
      </c>
      <c r="B388" t="s">
        <v>1153</v>
      </c>
      <c r="C388" t="s">
        <v>171</v>
      </c>
    </row>
    <row r="389" spans="1:3" x14ac:dyDescent="0.2">
      <c r="A389" t="str">
        <f>"00623"</f>
        <v>00623</v>
      </c>
      <c r="B389" t="s">
        <v>1154</v>
      </c>
      <c r="C389" t="s">
        <v>97</v>
      </c>
    </row>
    <row r="390" spans="1:3" x14ac:dyDescent="0.2">
      <c r="A390" t="str">
        <f>"00626"</f>
        <v>00626</v>
      </c>
      <c r="B390" t="s">
        <v>1155</v>
      </c>
      <c r="C390" t="s">
        <v>196</v>
      </c>
    </row>
    <row r="391" spans="1:3" x14ac:dyDescent="0.2">
      <c r="A391" t="str">
        <f>"00627"</f>
        <v>00627</v>
      </c>
      <c r="B391" t="s">
        <v>1156</v>
      </c>
      <c r="C391" t="s">
        <v>163</v>
      </c>
    </row>
    <row r="392" spans="1:3" x14ac:dyDescent="0.2">
      <c r="A392" t="str">
        <f>"00628"</f>
        <v>00628</v>
      </c>
      <c r="B392" t="s">
        <v>1157</v>
      </c>
      <c r="C392" t="s">
        <v>171</v>
      </c>
    </row>
    <row r="393" spans="1:3" x14ac:dyDescent="0.2">
      <c r="A393" t="str">
        <f>"00629"</f>
        <v>00629</v>
      </c>
      <c r="B393" t="s">
        <v>1158</v>
      </c>
      <c r="C393" t="s">
        <v>171</v>
      </c>
    </row>
    <row r="394" spans="1:3" x14ac:dyDescent="0.2">
      <c r="A394" t="str">
        <f>"00630"</f>
        <v>00630</v>
      </c>
      <c r="B394" t="s">
        <v>1159</v>
      </c>
      <c r="C394" t="s">
        <v>911</v>
      </c>
    </row>
    <row r="395" spans="1:3" x14ac:dyDescent="0.2">
      <c r="A395" t="str">
        <f>"00631"</f>
        <v>00631</v>
      </c>
      <c r="B395" t="s">
        <v>402</v>
      </c>
      <c r="C395" t="s">
        <v>233</v>
      </c>
    </row>
    <row r="396" spans="1:3" x14ac:dyDescent="0.2">
      <c r="A396" t="str">
        <f>"00632"</f>
        <v>00632</v>
      </c>
      <c r="B396" t="s">
        <v>1160</v>
      </c>
      <c r="C396" t="s">
        <v>277</v>
      </c>
    </row>
    <row r="397" spans="1:3" x14ac:dyDescent="0.2">
      <c r="A397" t="str">
        <f>"00635"</f>
        <v>00635</v>
      </c>
      <c r="B397" t="s">
        <v>1161</v>
      </c>
      <c r="C397" t="s">
        <v>120</v>
      </c>
    </row>
    <row r="398" spans="1:3" x14ac:dyDescent="0.2">
      <c r="A398" t="str">
        <f>"00636"</f>
        <v>00636</v>
      </c>
      <c r="B398" t="s">
        <v>403</v>
      </c>
      <c r="C398" t="s">
        <v>220</v>
      </c>
    </row>
    <row r="399" spans="1:3" x14ac:dyDescent="0.2">
      <c r="A399" t="str">
        <f>"00637"</f>
        <v>00637</v>
      </c>
      <c r="B399" t="s">
        <v>1162</v>
      </c>
      <c r="C399" t="s">
        <v>264</v>
      </c>
    </row>
    <row r="400" spans="1:3" x14ac:dyDescent="0.2">
      <c r="A400" t="str">
        <f>"00638"</f>
        <v>00638</v>
      </c>
      <c r="B400" t="s">
        <v>749</v>
      </c>
      <c r="C400" t="s">
        <v>233</v>
      </c>
    </row>
    <row r="401" spans="1:3" x14ac:dyDescent="0.2">
      <c r="A401" t="str">
        <f>"00639"</f>
        <v>00639</v>
      </c>
      <c r="B401" t="s">
        <v>750</v>
      </c>
      <c r="C401" t="s">
        <v>912</v>
      </c>
    </row>
    <row r="402" spans="1:3" x14ac:dyDescent="0.2">
      <c r="A402" t="str">
        <f>"00640"</f>
        <v>00640</v>
      </c>
      <c r="B402" t="s">
        <v>1163</v>
      </c>
      <c r="C402" t="s">
        <v>257</v>
      </c>
    </row>
    <row r="403" spans="1:3" x14ac:dyDescent="0.2">
      <c r="A403" t="str">
        <f>"00641"</f>
        <v>00641</v>
      </c>
      <c r="B403" t="s">
        <v>1164</v>
      </c>
      <c r="C403" t="s">
        <v>233</v>
      </c>
    </row>
    <row r="404" spans="1:3" x14ac:dyDescent="0.2">
      <c r="A404" t="str">
        <f>"00643"</f>
        <v>00643</v>
      </c>
      <c r="B404" t="s">
        <v>1165</v>
      </c>
      <c r="C404" t="s">
        <v>112</v>
      </c>
    </row>
    <row r="405" spans="1:3" x14ac:dyDescent="0.2">
      <c r="A405" t="str">
        <f>"00645"</f>
        <v>00645</v>
      </c>
      <c r="B405" t="s">
        <v>1166</v>
      </c>
      <c r="C405" t="s">
        <v>912</v>
      </c>
    </row>
    <row r="406" spans="1:3" x14ac:dyDescent="0.2">
      <c r="A406" t="str">
        <f>"00648"</f>
        <v>00648</v>
      </c>
      <c r="B406" t="s">
        <v>1167</v>
      </c>
      <c r="C406" t="s">
        <v>911</v>
      </c>
    </row>
    <row r="407" spans="1:3" x14ac:dyDescent="0.2">
      <c r="A407" t="str">
        <f>"00650"</f>
        <v>00650</v>
      </c>
      <c r="B407" t="s">
        <v>1168</v>
      </c>
      <c r="C407" t="s">
        <v>135</v>
      </c>
    </row>
    <row r="408" spans="1:3" x14ac:dyDescent="0.2">
      <c r="A408" t="str">
        <f>"00655"</f>
        <v>00655</v>
      </c>
      <c r="B408" t="s">
        <v>1169</v>
      </c>
      <c r="C408" t="s">
        <v>163</v>
      </c>
    </row>
    <row r="409" spans="1:3" x14ac:dyDescent="0.2">
      <c r="A409" t="str">
        <f>"00656"</f>
        <v>00656</v>
      </c>
      <c r="B409" t="s">
        <v>404</v>
      </c>
      <c r="C409" t="s">
        <v>134</v>
      </c>
    </row>
    <row r="410" spans="1:3" x14ac:dyDescent="0.2">
      <c r="A410" t="str">
        <f>"00658"</f>
        <v>00658</v>
      </c>
      <c r="B410" t="s">
        <v>1170</v>
      </c>
      <c r="C410" t="s">
        <v>233</v>
      </c>
    </row>
    <row r="411" spans="1:3" x14ac:dyDescent="0.2">
      <c r="A411" t="str">
        <f>"00659"</f>
        <v>00659</v>
      </c>
      <c r="B411" t="s">
        <v>405</v>
      </c>
      <c r="C411" t="s">
        <v>134</v>
      </c>
    </row>
    <row r="412" spans="1:3" x14ac:dyDescent="0.2">
      <c r="A412" t="str">
        <f>"00660"</f>
        <v>00660</v>
      </c>
      <c r="B412" t="s">
        <v>1171</v>
      </c>
      <c r="C412" t="s">
        <v>257</v>
      </c>
    </row>
    <row r="413" spans="1:3" x14ac:dyDescent="0.2">
      <c r="A413" t="str">
        <f>"00662"</f>
        <v>00662</v>
      </c>
      <c r="B413" t="s">
        <v>1172</v>
      </c>
      <c r="C413" t="s">
        <v>188</v>
      </c>
    </row>
    <row r="414" spans="1:3" x14ac:dyDescent="0.2">
      <c r="A414" t="str">
        <f>"00664"</f>
        <v>00664</v>
      </c>
      <c r="B414" t="s">
        <v>1173</v>
      </c>
      <c r="C414" t="s">
        <v>120</v>
      </c>
    </row>
    <row r="415" spans="1:3" x14ac:dyDescent="0.2">
      <c r="A415" t="str">
        <f>"00666"</f>
        <v>00666</v>
      </c>
      <c r="B415" t="s">
        <v>406</v>
      </c>
      <c r="C415" t="s">
        <v>233</v>
      </c>
    </row>
    <row r="416" spans="1:3" x14ac:dyDescent="0.2">
      <c r="A416" t="str">
        <f>"00667"</f>
        <v>00667</v>
      </c>
      <c r="B416" t="s">
        <v>407</v>
      </c>
      <c r="C416" t="s">
        <v>89</v>
      </c>
    </row>
    <row r="417" spans="1:3" x14ac:dyDescent="0.2">
      <c r="A417" t="str">
        <f>"00669"</f>
        <v>00669</v>
      </c>
      <c r="B417" t="s">
        <v>408</v>
      </c>
      <c r="C417" t="s">
        <v>120</v>
      </c>
    </row>
    <row r="418" spans="1:3" x14ac:dyDescent="0.2">
      <c r="A418" t="str">
        <f>"00670"</f>
        <v>00670</v>
      </c>
      <c r="B418" t="s">
        <v>409</v>
      </c>
      <c r="C418" t="s">
        <v>101</v>
      </c>
    </row>
    <row r="419" spans="1:3" x14ac:dyDescent="0.2">
      <c r="A419" t="str">
        <f>"00673"</f>
        <v>00673</v>
      </c>
      <c r="B419" t="s">
        <v>1174</v>
      </c>
      <c r="C419" t="s">
        <v>911</v>
      </c>
    </row>
    <row r="420" spans="1:3" x14ac:dyDescent="0.2">
      <c r="A420" t="str">
        <f>"00675"</f>
        <v>00675</v>
      </c>
      <c r="B420" t="s">
        <v>1175</v>
      </c>
      <c r="C420" t="s">
        <v>233</v>
      </c>
    </row>
    <row r="421" spans="1:3" x14ac:dyDescent="0.2">
      <c r="A421" t="str">
        <f>"00676"</f>
        <v>00676</v>
      </c>
      <c r="B421" t="s">
        <v>1176</v>
      </c>
      <c r="C421" t="s">
        <v>112</v>
      </c>
    </row>
    <row r="422" spans="1:3" x14ac:dyDescent="0.2">
      <c r="A422" t="str">
        <f>"00677"</f>
        <v>00677</v>
      </c>
      <c r="B422" t="s">
        <v>1177</v>
      </c>
      <c r="C422" t="s">
        <v>63</v>
      </c>
    </row>
    <row r="423" spans="1:3" x14ac:dyDescent="0.2">
      <c r="A423" t="str">
        <f>"00679"</f>
        <v>00679</v>
      </c>
      <c r="B423" t="s">
        <v>1178</v>
      </c>
      <c r="C423" t="s">
        <v>233</v>
      </c>
    </row>
    <row r="424" spans="1:3" x14ac:dyDescent="0.2">
      <c r="A424" t="str">
        <f>"00683"</f>
        <v>00683</v>
      </c>
      <c r="B424" t="s">
        <v>410</v>
      </c>
      <c r="C424" t="s">
        <v>163</v>
      </c>
    </row>
    <row r="425" spans="1:3" x14ac:dyDescent="0.2">
      <c r="A425" t="str">
        <f>"00684"</f>
        <v>00684</v>
      </c>
      <c r="B425" t="s">
        <v>1179</v>
      </c>
      <c r="C425" t="s">
        <v>120</v>
      </c>
    </row>
    <row r="426" spans="1:3" x14ac:dyDescent="0.2">
      <c r="A426" t="str">
        <f>"00685"</f>
        <v>00685</v>
      </c>
      <c r="B426" t="s">
        <v>1180</v>
      </c>
      <c r="C426" t="s">
        <v>97</v>
      </c>
    </row>
    <row r="427" spans="1:3" x14ac:dyDescent="0.2">
      <c r="A427" t="str">
        <f>"00686"</f>
        <v>00686</v>
      </c>
      <c r="B427" t="s">
        <v>1181</v>
      </c>
      <c r="C427" t="s">
        <v>208</v>
      </c>
    </row>
    <row r="428" spans="1:3" x14ac:dyDescent="0.2">
      <c r="A428" t="str">
        <f>"00687"</f>
        <v>00687</v>
      </c>
      <c r="B428" t="s">
        <v>1182</v>
      </c>
      <c r="C428" t="s">
        <v>162</v>
      </c>
    </row>
    <row r="429" spans="1:3" x14ac:dyDescent="0.2">
      <c r="A429" t="str">
        <f>"00688"</f>
        <v>00688</v>
      </c>
      <c r="B429" t="s">
        <v>411</v>
      </c>
      <c r="C429" t="s">
        <v>163</v>
      </c>
    </row>
    <row r="430" spans="1:3" x14ac:dyDescent="0.2">
      <c r="A430" t="str">
        <f>"00689"</f>
        <v>00689</v>
      </c>
      <c r="B430" t="s">
        <v>1183</v>
      </c>
      <c r="C430" t="s">
        <v>277</v>
      </c>
    </row>
    <row r="431" spans="1:3" x14ac:dyDescent="0.2">
      <c r="A431" t="str">
        <f>"00691"</f>
        <v>00691</v>
      </c>
      <c r="B431" t="s">
        <v>1184</v>
      </c>
      <c r="C431" t="s">
        <v>162</v>
      </c>
    </row>
    <row r="432" spans="1:3" x14ac:dyDescent="0.2">
      <c r="A432" t="str">
        <f>"00693"</f>
        <v>00693</v>
      </c>
      <c r="B432" t="s">
        <v>1185</v>
      </c>
      <c r="C432" t="s">
        <v>81</v>
      </c>
    </row>
    <row r="433" spans="1:3" x14ac:dyDescent="0.2">
      <c r="A433" t="str">
        <f>"00694"</f>
        <v>00694</v>
      </c>
      <c r="B433" t="s">
        <v>412</v>
      </c>
      <c r="C433" t="s">
        <v>101</v>
      </c>
    </row>
    <row r="434" spans="1:3" x14ac:dyDescent="0.2">
      <c r="A434" t="str">
        <f>"00695"</f>
        <v>00695</v>
      </c>
      <c r="B434" t="s">
        <v>751</v>
      </c>
      <c r="C434" t="s">
        <v>162</v>
      </c>
    </row>
    <row r="435" spans="1:3" x14ac:dyDescent="0.2">
      <c r="A435" t="str">
        <f>"00696"</f>
        <v>00696</v>
      </c>
      <c r="B435" t="s">
        <v>413</v>
      </c>
      <c r="C435" t="s">
        <v>137</v>
      </c>
    </row>
    <row r="436" spans="1:3" x14ac:dyDescent="0.2">
      <c r="A436" t="str">
        <f>"00697"</f>
        <v>00697</v>
      </c>
      <c r="B436" t="s">
        <v>414</v>
      </c>
      <c r="C436" t="s">
        <v>171</v>
      </c>
    </row>
    <row r="437" spans="1:3" x14ac:dyDescent="0.2">
      <c r="A437" t="str">
        <f>"00698"</f>
        <v>00698</v>
      </c>
      <c r="B437" t="s">
        <v>1186</v>
      </c>
      <c r="C437" t="s">
        <v>233</v>
      </c>
    </row>
    <row r="438" spans="1:3" x14ac:dyDescent="0.2">
      <c r="A438" t="str">
        <f>"00699"</f>
        <v>00699</v>
      </c>
      <c r="B438" t="s">
        <v>752</v>
      </c>
      <c r="C438" t="s">
        <v>127</v>
      </c>
    </row>
    <row r="439" spans="1:3" x14ac:dyDescent="0.2">
      <c r="A439" t="str">
        <f>"00700"</f>
        <v>00700</v>
      </c>
      <c r="B439" t="s">
        <v>415</v>
      </c>
      <c r="C439" t="s">
        <v>137</v>
      </c>
    </row>
    <row r="440" spans="1:3" x14ac:dyDescent="0.2">
      <c r="A440" t="str">
        <f>"00701"</f>
        <v>00701</v>
      </c>
      <c r="B440" t="s">
        <v>1187</v>
      </c>
      <c r="C440" t="s">
        <v>162</v>
      </c>
    </row>
    <row r="441" spans="1:3" x14ac:dyDescent="0.2">
      <c r="A441" t="str">
        <f>"00708"</f>
        <v>00708</v>
      </c>
      <c r="B441" t="s">
        <v>1188</v>
      </c>
      <c r="C441" t="s">
        <v>127</v>
      </c>
    </row>
    <row r="442" spans="1:3" x14ac:dyDescent="0.2">
      <c r="A442" t="str">
        <f>"00709"</f>
        <v>00709</v>
      </c>
      <c r="B442" t="s">
        <v>416</v>
      </c>
      <c r="C442" t="s">
        <v>112</v>
      </c>
    </row>
    <row r="443" spans="1:3" x14ac:dyDescent="0.2">
      <c r="A443" t="str">
        <f>"00710"</f>
        <v>00710</v>
      </c>
      <c r="B443" t="s">
        <v>417</v>
      </c>
      <c r="C443" t="s">
        <v>127</v>
      </c>
    </row>
    <row r="444" spans="1:3" x14ac:dyDescent="0.2">
      <c r="A444" t="str">
        <f>"00711"</f>
        <v>00711</v>
      </c>
      <c r="B444" t="s">
        <v>1189</v>
      </c>
      <c r="C444" t="s">
        <v>162</v>
      </c>
    </row>
    <row r="445" spans="1:3" x14ac:dyDescent="0.2">
      <c r="A445" t="str">
        <f>"00713"</f>
        <v>00713</v>
      </c>
      <c r="B445" t="s">
        <v>1190</v>
      </c>
      <c r="C445" t="s">
        <v>120</v>
      </c>
    </row>
    <row r="446" spans="1:3" x14ac:dyDescent="0.2">
      <c r="A446" t="str">
        <f>"00716"</f>
        <v>00716</v>
      </c>
      <c r="B446" t="s">
        <v>418</v>
      </c>
      <c r="C446" t="s">
        <v>233</v>
      </c>
    </row>
    <row r="447" spans="1:3" x14ac:dyDescent="0.2">
      <c r="A447" t="str">
        <f>"00719"</f>
        <v>00719</v>
      </c>
      <c r="B447" t="s">
        <v>419</v>
      </c>
      <c r="C447" t="s">
        <v>25</v>
      </c>
    </row>
    <row r="448" spans="1:3" x14ac:dyDescent="0.2">
      <c r="A448" t="str">
        <f>"00720"</f>
        <v>00720</v>
      </c>
      <c r="B448" t="s">
        <v>1191</v>
      </c>
      <c r="C448" t="s">
        <v>163</v>
      </c>
    </row>
    <row r="449" spans="1:3" x14ac:dyDescent="0.2">
      <c r="A449" t="str">
        <f>"00721"</f>
        <v>00721</v>
      </c>
      <c r="B449" t="s">
        <v>1192</v>
      </c>
      <c r="C449" t="s">
        <v>171</v>
      </c>
    </row>
    <row r="450" spans="1:3" x14ac:dyDescent="0.2">
      <c r="A450" t="str">
        <f>"00722"</f>
        <v>00722</v>
      </c>
      <c r="B450" t="s">
        <v>1193</v>
      </c>
      <c r="C450" t="s">
        <v>911</v>
      </c>
    </row>
    <row r="451" spans="1:3" x14ac:dyDescent="0.2">
      <c r="A451" t="str">
        <f>"00723"</f>
        <v>00723</v>
      </c>
      <c r="B451" t="s">
        <v>1194</v>
      </c>
      <c r="C451" t="s">
        <v>257</v>
      </c>
    </row>
    <row r="452" spans="1:3" x14ac:dyDescent="0.2">
      <c r="A452" t="str">
        <f>"00725"</f>
        <v>00725</v>
      </c>
      <c r="B452" t="s">
        <v>1195</v>
      </c>
      <c r="C452" t="s">
        <v>233</v>
      </c>
    </row>
    <row r="453" spans="1:3" x14ac:dyDescent="0.2">
      <c r="A453" t="str">
        <f>"00727"</f>
        <v>00727</v>
      </c>
      <c r="B453" t="s">
        <v>1196</v>
      </c>
      <c r="C453" t="s">
        <v>68</v>
      </c>
    </row>
    <row r="454" spans="1:3" x14ac:dyDescent="0.2">
      <c r="A454" t="str">
        <f>"00728"</f>
        <v>00728</v>
      </c>
      <c r="B454" t="s">
        <v>420</v>
      </c>
      <c r="C454" t="s">
        <v>215</v>
      </c>
    </row>
    <row r="455" spans="1:3" x14ac:dyDescent="0.2">
      <c r="A455" t="str">
        <f>"00730"</f>
        <v>00730</v>
      </c>
      <c r="B455" t="s">
        <v>1197</v>
      </c>
      <c r="C455" t="s">
        <v>171</v>
      </c>
    </row>
    <row r="456" spans="1:3" x14ac:dyDescent="0.2">
      <c r="A456" t="str">
        <f>"00731"</f>
        <v>00731</v>
      </c>
      <c r="B456" t="s">
        <v>1198</v>
      </c>
      <c r="C456" t="s">
        <v>257</v>
      </c>
    </row>
    <row r="457" spans="1:3" x14ac:dyDescent="0.2">
      <c r="A457" t="str">
        <f>"00732"</f>
        <v>00732</v>
      </c>
      <c r="B457" t="s">
        <v>421</v>
      </c>
      <c r="C457" t="s">
        <v>233</v>
      </c>
    </row>
    <row r="458" spans="1:3" x14ac:dyDescent="0.2">
      <c r="A458" t="str">
        <f>"00733"</f>
        <v>00733</v>
      </c>
      <c r="B458" t="s">
        <v>1199</v>
      </c>
      <c r="C458" t="s">
        <v>163</v>
      </c>
    </row>
    <row r="459" spans="1:3" x14ac:dyDescent="0.2">
      <c r="A459" t="str">
        <f>"00737"</f>
        <v>00737</v>
      </c>
      <c r="B459" t="s">
        <v>1200</v>
      </c>
      <c r="C459" t="s">
        <v>220</v>
      </c>
    </row>
    <row r="460" spans="1:3" x14ac:dyDescent="0.2">
      <c r="A460" t="str">
        <f>"00738"</f>
        <v>00738</v>
      </c>
      <c r="B460" t="s">
        <v>1201</v>
      </c>
      <c r="C460" t="s">
        <v>112</v>
      </c>
    </row>
    <row r="461" spans="1:3" x14ac:dyDescent="0.2">
      <c r="A461" t="str">
        <f>"00743"</f>
        <v>00743</v>
      </c>
      <c r="B461" t="s">
        <v>1202</v>
      </c>
      <c r="C461" t="s">
        <v>162</v>
      </c>
    </row>
    <row r="462" spans="1:3" x14ac:dyDescent="0.2">
      <c r="A462" t="str">
        <f>"00745"</f>
        <v>00745</v>
      </c>
      <c r="B462" t="s">
        <v>1203</v>
      </c>
      <c r="C462" t="s">
        <v>81</v>
      </c>
    </row>
    <row r="463" spans="1:3" x14ac:dyDescent="0.2">
      <c r="A463" t="str">
        <f>"00746"</f>
        <v>00746</v>
      </c>
      <c r="B463" t="s">
        <v>422</v>
      </c>
      <c r="C463" t="s">
        <v>257</v>
      </c>
    </row>
    <row r="464" spans="1:3" x14ac:dyDescent="0.2">
      <c r="A464" t="str">
        <f>"00750"</f>
        <v>00750</v>
      </c>
      <c r="B464" t="s">
        <v>1204</v>
      </c>
      <c r="C464" t="s">
        <v>233</v>
      </c>
    </row>
    <row r="465" spans="1:3" x14ac:dyDescent="0.2">
      <c r="A465" t="str">
        <f>"00751"</f>
        <v>00751</v>
      </c>
      <c r="B465" t="s">
        <v>423</v>
      </c>
      <c r="C465" t="s">
        <v>120</v>
      </c>
    </row>
    <row r="466" spans="1:3" x14ac:dyDescent="0.2">
      <c r="A466" t="str">
        <f>"00752"</f>
        <v>00752</v>
      </c>
      <c r="B466" t="s">
        <v>424</v>
      </c>
      <c r="C466" t="s">
        <v>97</v>
      </c>
    </row>
    <row r="467" spans="1:3" x14ac:dyDescent="0.2">
      <c r="A467" t="str">
        <f>"00753"</f>
        <v>00753</v>
      </c>
      <c r="B467" t="s">
        <v>425</v>
      </c>
      <c r="C467" t="s">
        <v>101</v>
      </c>
    </row>
    <row r="468" spans="1:3" x14ac:dyDescent="0.2">
      <c r="A468" t="str">
        <f>"00754"</f>
        <v>00754</v>
      </c>
      <c r="B468" t="s">
        <v>753</v>
      </c>
      <c r="C468" t="s">
        <v>163</v>
      </c>
    </row>
    <row r="469" spans="1:3" x14ac:dyDescent="0.2">
      <c r="A469" t="str">
        <f>"00756"</f>
        <v>00756</v>
      </c>
      <c r="B469" t="s">
        <v>1205</v>
      </c>
      <c r="C469" t="s">
        <v>68</v>
      </c>
    </row>
    <row r="470" spans="1:3" x14ac:dyDescent="0.2">
      <c r="A470" t="str">
        <f>"00759"</f>
        <v>00759</v>
      </c>
      <c r="B470" t="s">
        <v>1206</v>
      </c>
      <c r="C470" t="s">
        <v>63</v>
      </c>
    </row>
    <row r="471" spans="1:3" x14ac:dyDescent="0.2">
      <c r="A471" t="str">
        <f>"00762"</f>
        <v>00762</v>
      </c>
      <c r="B471" t="s">
        <v>426</v>
      </c>
      <c r="C471" t="s">
        <v>215</v>
      </c>
    </row>
    <row r="472" spans="1:3" x14ac:dyDescent="0.2">
      <c r="A472" t="str">
        <f>"00763"</f>
        <v>00763</v>
      </c>
      <c r="B472" t="s">
        <v>427</v>
      </c>
      <c r="C472" t="s">
        <v>154</v>
      </c>
    </row>
    <row r="473" spans="1:3" x14ac:dyDescent="0.2">
      <c r="A473" t="str">
        <f>"00764"</f>
        <v>00764</v>
      </c>
      <c r="B473" t="s">
        <v>1207</v>
      </c>
      <c r="C473" t="s">
        <v>134</v>
      </c>
    </row>
    <row r="474" spans="1:3" x14ac:dyDescent="0.2">
      <c r="A474" t="str">
        <f>"00767"</f>
        <v>00767</v>
      </c>
      <c r="B474" t="s">
        <v>1208</v>
      </c>
      <c r="C474" t="s">
        <v>25</v>
      </c>
    </row>
    <row r="475" spans="1:3" x14ac:dyDescent="0.2">
      <c r="A475" t="str">
        <f>"00769"</f>
        <v>00769</v>
      </c>
      <c r="B475" t="s">
        <v>1209</v>
      </c>
      <c r="C475" t="s">
        <v>264</v>
      </c>
    </row>
    <row r="476" spans="1:3" x14ac:dyDescent="0.2">
      <c r="A476" t="str">
        <f>"00771"</f>
        <v>00771</v>
      </c>
      <c r="B476" t="s">
        <v>1210</v>
      </c>
      <c r="C476" t="s">
        <v>137</v>
      </c>
    </row>
    <row r="477" spans="1:3" x14ac:dyDescent="0.2">
      <c r="A477" t="str">
        <f>"00772"</f>
        <v>00772</v>
      </c>
      <c r="B477" t="s">
        <v>428</v>
      </c>
      <c r="C477" t="s">
        <v>97</v>
      </c>
    </row>
    <row r="478" spans="1:3" x14ac:dyDescent="0.2">
      <c r="A478" t="str">
        <f>"00775"</f>
        <v>00775</v>
      </c>
      <c r="B478" t="s">
        <v>429</v>
      </c>
      <c r="C478" t="s">
        <v>911</v>
      </c>
    </row>
    <row r="479" spans="1:3" x14ac:dyDescent="0.2">
      <c r="A479" t="str">
        <f>"00776"</f>
        <v>00776</v>
      </c>
      <c r="B479" t="s">
        <v>1211</v>
      </c>
      <c r="C479" t="s">
        <v>137</v>
      </c>
    </row>
    <row r="480" spans="1:3" x14ac:dyDescent="0.2">
      <c r="A480" t="str">
        <f>"00777"</f>
        <v>00777</v>
      </c>
      <c r="B480" t="s">
        <v>430</v>
      </c>
      <c r="C480" t="s">
        <v>137</v>
      </c>
    </row>
    <row r="481" spans="1:3" x14ac:dyDescent="0.2">
      <c r="A481" t="str">
        <f>"00780"</f>
        <v>00780</v>
      </c>
      <c r="B481" t="s">
        <v>431</v>
      </c>
      <c r="C481" t="s">
        <v>101</v>
      </c>
    </row>
    <row r="482" spans="1:3" x14ac:dyDescent="0.2">
      <c r="A482" t="str">
        <f>"00784"</f>
        <v>00784</v>
      </c>
      <c r="B482" t="s">
        <v>1212</v>
      </c>
      <c r="C482" t="s">
        <v>162</v>
      </c>
    </row>
    <row r="483" spans="1:3" x14ac:dyDescent="0.2">
      <c r="A483" t="str">
        <f>"00788"</f>
        <v>00788</v>
      </c>
      <c r="B483" t="s">
        <v>432</v>
      </c>
      <c r="C483" t="s">
        <v>215</v>
      </c>
    </row>
    <row r="484" spans="1:3" x14ac:dyDescent="0.2">
      <c r="A484" t="str">
        <f>"00789"</f>
        <v>00789</v>
      </c>
      <c r="B484" t="s">
        <v>1213</v>
      </c>
      <c r="C484" t="s">
        <v>112</v>
      </c>
    </row>
    <row r="485" spans="1:3" x14ac:dyDescent="0.2">
      <c r="A485" t="str">
        <f>"00797"</f>
        <v>00797</v>
      </c>
      <c r="B485" t="s">
        <v>1214</v>
      </c>
      <c r="C485" t="s">
        <v>137</v>
      </c>
    </row>
    <row r="486" spans="1:3" x14ac:dyDescent="0.2">
      <c r="A486" t="str">
        <f>"00798"</f>
        <v>00798</v>
      </c>
      <c r="B486" t="s">
        <v>1215</v>
      </c>
      <c r="C486" t="s">
        <v>163</v>
      </c>
    </row>
    <row r="487" spans="1:3" x14ac:dyDescent="0.2">
      <c r="A487" t="str">
        <f>"00799"</f>
        <v>00799</v>
      </c>
      <c r="B487" t="s">
        <v>433</v>
      </c>
      <c r="C487" t="s">
        <v>137</v>
      </c>
    </row>
    <row r="488" spans="1:3" x14ac:dyDescent="0.2">
      <c r="A488" t="str">
        <f>"00800"</f>
        <v>00800</v>
      </c>
      <c r="B488" t="s">
        <v>754</v>
      </c>
      <c r="C488" t="s">
        <v>137</v>
      </c>
    </row>
    <row r="489" spans="1:3" x14ac:dyDescent="0.2">
      <c r="A489" t="str">
        <f>"00804"</f>
        <v>00804</v>
      </c>
      <c r="B489" t="s">
        <v>1216</v>
      </c>
      <c r="C489" t="s">
        <v>171</v>
      </c>
    </row>
    <row r="490" spans="1:3" x14ac:dyDescent="0.2">
      <c r="A490" t="str">
        <f>"00805"</f>
        <v>00805</v>
      </c>
      <c r="B490" t="s">
        <v>1217</v>
      </c>
      <c r="C490" t="s">
        <v>127</v>
      </c>
    </row>
    <row r="491" spans="1:3" x14ac:dyDescent="0.2">
      <c r="A491" t="str">
        <f>"00806"</f>
        <v>00806</v>
      </c>
      <c r="B491" t="s">
        <v>434</v>
      </c>
      <c r="C491" t="s">
        <v>171</v>
      </c>
    </row>
    <row r="492" spans="1:3" x14ac:dyDescent="0.2">
      <c r="A492" t="str">
        <f>"00807"</f>
        <v>00807</v>
      </c>
      <c r="B492" t="s">
        <v>1218</v>
      </c>
      <c r="C492" t="s">
        <v>208</v>
      </c>
    </row>
    <row r="493" spans="1:3" x14ac:dyDescent="0.2">
      <c r="A493" t="str">
        <f>"00811"</f>
        <v>00811</v>
      </c>
      <c r="B493" t="s">
        <v>435</v>
      </c>
      <c r="C493" t="s">
        <v>97</v>
      </c>
    </row>
    <row r="494" spans="1:3" x14ac:dyDescent="0.2">
      <c r="A494" t="str">
        <f>"00815"</f>
        <v>00815</v>
      </c>
      <c r="B494" t="s">
        <v>436</v>
      </c>
      <c r="C494" t="s">
        <v>272</v>
      </c>
    </row>
    <row r="495" spans="1:3" x14ac:dyDescent="0.2">
      <c r="A495" t="str">
        <f>"00816"</f>
        <v>00816</v>
      </c>
      <c r="B495" t="s">
        <v>755</v>
      </c>
      <c r="C495" t="s">
        <v>163</v>
      </c>
    </row>
    <row r="496" spans="1:3" x14ac:dyDescent="0.2">
      <c r="A496" t="str">
        <f>"00817"</f>
        <v>00817</v>
      </c>
      <c r="B496" t="s">
        <v>437</v>
      </c>
      <c r="C496" t="s">
        <v>163</v>
      </c>
    </row>
    <row r="497" spans="1:3" x14ac:dyDescent="0.2">
      <c r="A497" t="str">
        <f>"00818"</f>
        <v>00818</v>
      </c>
      <c r="B497" t="s">
        <v>1219</v>
      </c>
      <c r="C497" t="s">
        <v>171</v>
      </c>
    </row>
    <row r="498" spans="1:3" x14ac:dyDescent="0.2">
      <c r="A498" t="str">
        <f>"00819"</f>
        <v>00819</v>
      </c>
      <c r="B498" t="s">
        <v>438</v>
      </c>
      <c r="C498" t="s">
        <v>233</v>
      </c>
    </row>
    <row r="499" spans="1:3" x14ac:dyDescent="0.2">
      <c r="A499" t="str">
        <f>"00821"</f>
        <v>00821</v>
      </c>
      <c r="B499" t="s">
        <v>1220</v>
      </c>
      <c r="C499" t="s">
        <v>171</v>
      </c>
    </row>
    <row r="500" spans="1:3" x14ac:dyDescent="0.2">
      <c r="A500" t="str">
        <f>"00822"</f>
        <v>00822</v>
      </c>
      <c r="B500" t="s">
        <v>1221</v>
      </c>
      <c r="C500" t="s">
        <v>233</v>
      </c>
    </row>
    <row r="501" spans="1:3" x14ac:dyDescent="0.2">
      <c r="A501" t="str">
        <f>"00825"</f>
        <v>00825</v>
      </c>
      <c r="B501" t="s">
        <v>1222</v>
      </c>
      <c r="C501" t="s">
        <v>81</v>
      </c>
    </row>
    <row r="502" spans="1:3" x14ac:dyDescent="0.2">
      <c r="A502" t="str">
        <f>"00826"</f>
        <v>00826</v>
      </c>
      <c r="B502" t="s">
        <v>439</v>
      </c>
      <c r="C502" t="s">
        <v>264</v>
      </c>
    </row>
    <row r="503" spans="1:3" x14ac:dyDescent="0.2">
      <c r="A503" t="str">
        <f>"00828"</f>
        <v>00828</v>
      </c>
      <c r="B503" t="s">
        <v>1223</v>
      </c>
      <c r="C503" t="s">
        <v>68</v>
      </c>
    </row>
    <row r="504" spans="1:3" x14ac:dyDescent="0.2">
      <c r="A504" t="str">
        <f>"00829"</f>
        <v>00829</v>
      </c>
      <c r="B504" t="s">
        <v>1224</v>
      </c>
      <c r="C504" t="s">
        <v>68</v>
      </c>
    </row>
    <row r="505" spans="1:3" x14ac:dyDescent="0.2">
      <c r="A505" t="str">
        <f>"00830"</f>
        <v>00830</v>
      </c>
      <c r="B505" t="s">
        <v>1225</v>
      </c>
      <c r="C505" t="s">
        <v>162</v>
      </c>
    </row>
    <row r="506" spans="1:3" x14ac:dyDescent="0.2">
      <c r="A506" t="str">
        <f>"00831"</f>
        <v>00831</v>
      </c>
      <c r="B506" t="s">
        <v>1226</v>
      </c>
      <c r="C506" t="s">
        <v>68</v>
      </c>
    </row>
    <row r="507" spans="1:3" x14ac:dyDescent="0.2">
      <c r="A507" t="str">
        <f>"00833"</f>
        <v>00833</v>
      </c>
      <c r="B507" t="s">
        <v>1227</v>
      </c>
      <c r="C507" t="s">
        <v>120</v>
      </c>
    </row>
    <row r="508" spans="1:3" x14ac:dyDescent="0.2">
      <c r="A508" t="str">
        <f>"00834"</f>
        <v>00834</v>
      </c>
      <c r="B508" t="s">
        <v>1228</v>
      </c>
      <c r="C508" t="s">
        <v>68</v>
      </c>
    </row>
    <row r="509" spans="1:3" x14ac:dyDescent="0.2">
      <c r="A509" t="str">
        <f>"00836"</f>
        <v>00836</v>
      </c>
      <c r="B509" t="s">
        <v>440</v>
      </c>
      <c r="C509" t="s">
        <v>208</v>
      </c>
    </row>
    <row r="510" spans="1:3" x14ac:dyDescent="0.2">
      <c r="A510" t="str">
        <f>"00837"</f>
        <v>00837</v>
      </c>
      <c r="B510" t="s">
        <v>1229</v>
      </c>
      <c r="C510" t="s">
        <v>120</v>
      </c>
    </row>
    <row r="511" spans="1:3" x14ac:dyDescent="0.2">
      <c r="A511" t="str">
        <f>"00838"</f>
        <v>00838</v>
      </c>
      <c r="B511" t="s">
        <v>441</v>
      </c>
      <c r="C511" t="s">
        <v>233</v>
      </c>
    </row>
    <row r="512" spans="1:3" x14ac:dyDescent="0.2">
      <c r="A512" t="str">
        <f>"00839"</f>
        <v>00839</v>
      </c>
      <c r="B512" t="s">
        <v>442</v>
      </c>
      <c r="C512" t="s">
        <v>89</v>
      </c>
    </row>
    <row r="513" spans="1:3" x14ac:dyDescent="0.2">
      <c r="A513" t="str">
        <f>"00841"</f>
        <v>00841</v>
      </c>
      <c r="B513" t="s">
        <v>1230</v>
      </c>
      <c r="C513" t="s">
        <v>68</v>
      </c>
    </row>
    <row r="514" spans="1:3" x14ac:dyDescent="0.2">
      <c r="A514" t="str">
        <f>"00842"</f>
        <v>00842</v>
      </c>
      <c r="B514" t="s">
        <v>443</v>
      </c>
      <c r="C514" t="s">
        <v>233</v>
      </c>
    </row>
    <row r="515" spans="1:3" x14ac:dyDescent="0.2">
      <c r="A515" t="str">
        <f>"00844"</f>
        <v>00844</v>
      </c>
      <c r="B515" t="s">
        <v>1231</v>
      </c>
      <c r="C515" t="s">
        <v>112</v>
      </c>
    </row>
    <row r="516" spans="1:3" x14ac:dyDescent="0.2">
      <c r="A516" t="str">
        <f>"00851"</f>
        <v>00851</v>
      </c>
      <c r="B516" t="s">
        <v>1232</v>
      </c>
      <c r="C516" t="s">
        <v>171</v>
      </c>
    </row>
    <row r="517" spans="1:3" x14ac:dyDescent="0.2">
      <c r="A517" t="str">
        <f>"00852"</f>
        <v>00852</v>
      </c>
      <c r="B517" t="s">
        <v>1233</v>
      </c>
      <c r="C517" t="s">
        <v>277</v>
      </c>
    </row>
    <row r="518" spans="1:3" x14ac:dyDescent="0.2">
      <c r="A518" t="str">
        <f>"00853"</f>
        <v>00853</v>
      </c>
      <c r="B518" t="s">
        <v>444</v>
      </c>
      <c r="C518" t="s">
        <v>911</v>
      </c>
    </row>
    <row r="519" spans="1:3" x14ac:dyDescent="0.2">
      <c r="A519" t="str">
        <f>"00854"</f>
        <v>00854</v>
      </c>
      <c r="B519" t="s">
        <v>1234</v>
      </c>
      <c r="C519" t="s">
        <v>233</v>
      </c>
    </row>
    <row r="520" spans="1:3" x14ac:dyDescent="0.2">
      <c r="A520" t="str">
        <f>"00855"</f>
        <v>00855</v>
      </c>
      <c r="B520" t="s">
        <v>445</v>
      </c>
      <c r="C520" t="s">
        <v>208</v>
      </c>
    </row>
    <row r="521" spans="1:3" x14ac:dyDescent="0.2">
      <c r="A521" t="str">
        <f>"00856"</f>
        <v>00856</v>
      </c>
      <c r="B521" t="s">
        <v>446</v>
      </c>
      <c r="C521" t="s">
        <v>137</v>
      </c>
    </row>
    <row r="522" spans="1:3" x14ac:dyDescent="0.2">
      <c r="A522" t="str">
        <f>"00857"</f>
        <v>00857</v>
      </c>
      <c r="B522" t="s">
        <v>447</v>
      </c>
      <c r="C522" t="s">
        <v>277</v>
      </c>
    </row>
    <row r="523" spans="1:3" x14ac:dyDescent="0.2">
      <c r="A523" t="str">
        <f>"00860"</f>
        <v>00860</v>
      </c>
      <c r="B523" t="s">
        <v>1235</v>
      </c>
      <c r="C523" t="s">
        <v>127</v>
      </c>
    </row>
    <row r="524" spans="1:3" x14ac:dyDescent="0.2">
      <c r="A524" t="str">
        <f>"00861"</f>
        <v>00861</v>
      </c>
      <c r="B524" t="s">
        <v>448</v>
      </c>
      <c r="C524" t="s">
        <v>137</v>
      </c>
    </row>
    <row r="525" spans="1:3" x14ac:dyDescent="0.2">
      <c r="A525" t="str">
        <f>"00862"</f>
        <v>00862</v>
      </c>
      <c r="B525" t="s">
        <v>1236</v>
      </c>
      <c r="C525" t="s">
        <v>220</v>
      </c>
    </row>
    <row r="526" spans="1:3" x14ac:dyDescent="0.2">
      <c r="A526" t="str">
        <f>"00863"</f>
        <v>00863</v>
      </c>
      <c r="B526" t="s">
        <v>449</v>
      </c>
      <c r="C526" t="s">
        <v>171</v>
      </c>
    </row>
    <row r="527" spans="1:3" x14ac:dyDescent="0.2">
      <c r="A527" t="str">
        <f>"00866"</f>
        <v>00866</v>
      </c>
      <c r="B527" t="s">
        <v>756</v>
      </c>
      <c r="C527" t="s">
        <v>912</v>
      </c>
    </row>
    <row r="528" spans="1:3" x14ac:dyDescent="0.2">
      <c r="A528" t="str">
        <f>"00867"</f>
        <v>00867</v>
      </c>
      <c r="B528" t="s">
        <v>450</v>
      </c>
      <c r="C528" t="s">
        <v>25</v>
      </c>
    </row>
    <row r="529" spans="1:3" x14ac:dyDescent="0.2">
      <c r="A529" t="str">
        <f>"00868"</f>
        <v>00868</v>
      </c>
      <c r="B529" t="s">
        <v>451</v>
      </c>
      <c r="C529" t="s">
        <v>233</v>
      </c>
    </row>
    <row r="530" spans="1:3" x14ac:dyDescent="0.2">
      <c r="A530" t="str">
        <f>"00869"</f>
        <v>00869</v>
      </c>
      <c r="B530" t="s">
        <v>1237</v>
      </c>
      <c r="C530" t="s">
        <v>120</v>
      </c>
    </row>
    <row r="531" spans="1:3" x14ac:dyDescent="0.2">
      <c r="A531" t="str">
        <f>"00873"</f>
        <v>00873</v>
      </c>
      <c r="B531" t="s">
        <v>757</v>
      </c>
      <c r="C531" t="s">
        <v>163</v>
      </c>
    </row>
    <row r="532" spans="1:3" x14ac:dyDescent="0.2">
      <c r="A532" t="str">
        <f>"00874"</f>
        <v>00874</v>
      </c>
      <c r="B532" t="s">
        <v>452</v>
      </c>
      <c r="C532" t="s">
        <v>25</v>
      </c>
    </row>
    <row r="533" spans="1:3" x14ac:dyDescent="0.2">
      <c r="A533" t="str">
        <f>"00875"</f>
        <v>00875</v>
      </c>
      <c r="B533" t="s">
        <v>758</v>
      </c>
      <c r="C533" t="s">
        <v>66</v>
      </c>
    </row>
    <row r="534" spans="1:3" x14ac:dyDescent="0.2">
      <c r="A534" t="str">
        <f>"00878"</f>
        <v>00878</v>
      </c>
      <c r="B534" t="s">
        <v>1238</v>
      </c>
      <c r="C534" t="s">
        <v>163</v>
      </c>
    </row>
    <row r="535" spans="1:3" x14ac:dyDescent="0.2">
      <c r="A535" t="str">
        <f>"00880"</f>
        <v>00880</v>
      </c>
      <c r="B535" t="s">
        <v>453</v>
      </c>
      <c r="C535" t="s">
        <v>101</v>
      </c>
    </row>
    <row r="536" spans="1:3" x14ac:dyDescent="0.2">
      <c r="A536" t="str">
        <f>"00881"</f>
        <v>00881</v>
      </c>
      <c r="B536" t="s">
        <v>454</v>
      </c>
      <c r="C536" t="s">
        <v>81</v>
      </c>
    </row>
    <row r="537" spans="1:3" x14ac:dyDescent="0.2">
      <c r="A537" t="str">
        <f>"00882"</f>
        <v>00882</v>
      </c>
      <c r="B537" t="s">
        <v>1239</v>
      </c>
      <c r="C537" t="s">
        <v>134</v>
      </c>
    </row>
    <row r="538" spans="1:3" x14ac:dyDescent="0.2">
      <c r="A538" t="str">
        <f>"00883"</f>
        <v>00883</v>
      </c>
      <c r="B538" t="s">
        <v>455</v>
      </c>
      <c r="C538" t="s">
        <v>277</v>
      </c>
    </row>
    <row r="539" spans="1:3" x14ac:dyDescent="0.2">
      <c r="A539" t="str">
        <f>"00887"</f>
        <v>00887</v>
      </c>
      <c r="B539" t="s">
        <v>1240</v>
      </c>
      <c r="C539" t="s">
        <v>81</v>
      </c>
    </row>
    <row r="540" spans="1:3" x14ac:dyDescent="0.2">
      <c r="A540" t="str">
        <f>"00889"</f>
        <v>00889</v>
      </c>
      <c r="B540" t="s">
        <v>1241</v>
      </c>
      <c r="C540" t="s">
        <v>233</v>
      </c>
    </row>
    <row r="541" spans="1:3" x14ac:dyDescent="0.2">
      <c r="A541" t="str">
        <f>"00894"</f>
        <v>00894</v>
      </c>
      <c r="B541" t="s">
        <v>1242</v>
      </c>
      <c r="C541" t="s">
        <v>233</v>
      </c>
    </row>
    <row r="542" spans="1:3" x14ac:dyDescent="0.2">
      <c r="A542" t="str">
        <f>"00895"</f>
        <v>00895</v>
      </c>
      <c r="B542" t="s">
        <v>759</v>
      </c>
      <c r="C542" t="s">
        <v>233</v>
      </c>
    </row>
    <row r="543" spans="1:3" x14ac:dyDescent="0.2">
      <c r="A543" t="str">
        <f>"00896"</f>
        <v>00896</v>
      </c>
      <c r="B543" t="s">
        <v>1243</v>
      </c>
      <c r="C543" t="s">
        <v>162</v>
      </c>
    </row>
    <row r="544" spans="1:3" x14ac:dyDescent="0.2">
      <c r="A544" t="str">
        <f>"00897"</f>
        <v>00897</v>
      </c>
      <c r="B544" t="s">
        <v>1244</v>
      </c>
      <c r="C544" t="s">
        <v>25</v>
      </c>
    </row>
    <row r="545" spans="1:3" x14ac:dyDescent="0.2">
      <c r="A545" t="str">
        <f>"00898"</f>
        <v>00898</v>
      </c>
      <c r="B545" t="s">
        <v>1245</v>
      </c>
      <c r="C545" t="s">
        <v>163</v>
      </c>
    </row>
    <row r="546" spans="1:3" x14ac:dyDescent="0.2">
      <c r="A546" t="str">
        <f>"00900"</f>
        <v>00900</v>
      </c>
      <c r="B546" t="s">
        <v>1246</v>
      </c>
      <c r="C546" t="s">
        <v>171</v>
      </c>
    </row>
    <row r="547" spans="1:3" x14ac:dyDescent="0.2">
      <c r="A547" t="str">
        <f>"00901"</f>
        <v>00901</v>
      </c>
      <c r="B547" t="s">
        <v>1247</v>
      </c>
      <c r="C547" t="s">
        <v>154</v>
      </c>
    </row>
    <row r="548" spans="1:3" x14ac:dyDescent="0.2">
      <c r="A548" t="str">
        <f>"00902"</f>
        <v>00902</v>
      </c>
      <c r="B548" t="s">
        <v>456</v>
      </c>
      <c r="C548" t="s">
        <v>208</v>
      </c>
    </row>
    <row r="549" spans="1:3" x14ac:dyDescent="0.2">
      <c r="A549" t="str">
        <f>"00905"</f>
        <v>00905</v>
      </c>
      <c r="B549" t="s">
        <v>457</v>
      </c>
      <c r="C549" t="s">
        <v>171</v>
      </c>
    </row>
    <row r="550" spans="1:3" x14ac:dyDescent="0.2">
      <c r="A550" t="str">
        <f>"00909"</f>
        <v>00909</v>
      </c>
      <c r="B550" t="s">
        <v>458</v>
      </c>
      <c r="C550" t="s">
        <v>137</v>
      </c>
    </row>
    <row r="551" spans="1:3" x14ac:dyDescent="0.2">
      <c r="A551" t="str">
        <f>"00911"</f>
        <v>00911</v>
      </c>
      <c r="B551" t="s">
        <v>1248</v>
      </c>
      <c r="C551" t="s">
        <v>233</v>
      </c>
    </row>
    <row r="552" spans="1:3" x14ac:dyDescent="0.2">
      <c r="A552" t="str">
        <f>"00912"</f>
        <v>00912</v>
      </c>
      <c r="B552" t="s">
        <v>1249</v>
      </c>
      <c r="C552" t="s">
        <v>120</v>
      </c>
    </row>
    <row r="553" spans="1:3" x14ac:dyDescent="0.2">
      <c r="A553" t="str">
        <f>"00914"</f>
        <v>00914</v>
      </c>
      <c r="B553" t="s">
        <v>459</v>
      </c>
      <c r="C553" t="s">
        <v>162</v>
      </c>
    </row>
    <row r="554" spans="1:3" x14ac:dyDescent="0.2">
      <c r="A554" t="str">
        <f>"00916"</f>
        <v>00916</v>
      </c>
      <c r="B554" t="s">
        <v>460</v>
      </c>
      <c r="C554" t="s">
        <v>208</v>
      </c>
    </row>
    <row r="555" spans="1:3" x14ac:dyDescent="0.2">
      <c r="A555" t="str">
        <f>"00917"</f>
        <v>00917</v>
      </c>
      <c r="B555" t="s">
        <v>760</v>
      </c>
      <c r="C555" t="s">
        <v>97</v>
      </c>
    </row>
    <row r="556" spans="1:3" x14ac:dyDescent="0.2">
      <c r="A556" t="str">
        <f>"00918"</f>
        <v>00918</v>
      </c>
      <c r="B556" t="s">
        <v>1250</v>
      </c>
      <c r="C556" t="s">
        <v>233</v>
      </c>
    </row>
    <row r="557" spans="1:3" x14ac:dyDescent="0.2">
      <c r="A557" t="str">
        <f>"00921"</f>
        <v>00921</v>
      </c>
      <c r="B557" t="s">
        <v>461</v>
      </c>
      <c r="C557" t="s">
        <v>120</v>
      </c>
    </row>
    <row r="558" spans="1:3" x14ac:dyDescent="0.2">
      <c r="A558" t="str">
        <f>"00926"</f>
        <v>00926</v>
      </c>
      <c r="B558" t="s">
        <v>1251</v>
      </c>
      <c r="C558" t="s">
        <v>911</v>
      </c>
    </row>
    <row r="559" spans="1:3" x14ac:dyDescent="0.2">
      <c r="A559" t="str">
        <f>"00927"</f>
        <v>00927</v>
      </c>
      <c r="B559" t="s">
        <v>1252</v>
      </c>
      <c r="C559" t="s">
        <v>120</v>
      </c>
    </row>
    <row r="560" spans="1:3" x14ac:dyDescent="0.2">
      <c r="A560" t="str">
        <f>"00929"</f>
        <v>00929</v>
      </c>
      <c r="B560" t="s">
        <v>1253</v>
      </c>
      <c r="C560" t="s">
        <v>127</v>
      </c>
    </row>
    <row r="561" spans="1:3" x14ac:dyDescent="0.2">
      <c r="A561" t="str">
        <f>"00931"</f>
        <v>00931</v>
      </c>
      <c r="B561" t="s">
        <v>761</v>
      </c>
      <c r="C561" t="s">
        <v>208</v>
      </c>
    </row>
    <row r="562" spans="1:3" x14ac:dyDescent="0.2">
      <c r="A562" t="str">
        <f>"00933"</f>
        <v>00933</v>
      </c>
      <c r="B562" t="s">
        <v>762</v>
      </c>
      <c r="C562" t="s">
        <v>112</v>
      </c>
    </row>
    <row r="563" spans="1:3" x14ac:dyDescent="0.2">
      <c r="A563" t="str">
        <f>"00934"</f>
        <v>00934</v>
      </c>
      <c r="B563" t="s">
        <v>462</v>
      </c>
      <c r="C563" t="s">
        <v>277</v>
      </c>
    </row>
    <row r="564" spans="1:3" x14ac:dyDescent="0.2">
      <c r="A564" t="str">
        <f>"00936"</f>
        <v>00936</v>
      </c>
      <c r="B564" t="s">
        <v>1254</v>
      </c>
      <c r="C564" t="s">
        <v>233</v>
      </c>
    </row>
    <row r="565" spans="1:3" x14ac:dyDescent="0.2">
      <c r="A565" t="str">
        <f>"00938"</f>
        <v>00938</v>
      </c>
      <c r="B565" t="s">
        <v>1255</v>
      </c>
      <c r="C565" t="s">
        <v>163</v>
      </c>
    </row>
    <row r="566" spans="1:3" x14ac:dyDescent="0.2">
      <c r="A566" t="str">
        <f>"00939"</f>
        <v>00939</v>
      </c>
      <c r="B566" t="s">
        <v>463</v>
      </c>
      <c r="C566" t="s">
        <v>196</v>
      </c>
    </row>
    <row r="567" spans="1:3" x14ac:dyDescent="0.2">
      <c r="A567" t="str">
        <f>"00941"</f>
        <v>00941</v>
      </c>
      <c r="B567" t="s">
        <v>464</v>
      </c>
      <c r="C567" t="s">
        <v>215</v>
      </c>
    </row>
    <row r="568" spans="1:3" x14ac:dyDescent="0.2">
      <c r="A568" t="str">
        <f>"00943"</f>
        <v>00943</v>
      </c>
      <c r="B568" t="s">
        <v>1256</v>
      </c>
      <c r="C568" t="s">
        <v>63</v>
      </c>
    </row>
    <row r="569" spans="1:3" x14ac:dyDescent="0.2">
      <c r="A569" t="str">
        <f>"00945"</f>
        <v>00945</v>
      </c>
      <c r="B569" t="s">
        <v>465</v>
      </c>
      <c r="C569" t="s">
        <v>188</v>
      </c>
    </row>
    <row r="570" spans="1:3" x14ac:dyDescent="0.2">
      <c r="A570" t="str">
        <f>"00947"</f>
        <v>00947</v>
      </c>
      <c r="B570" t="s">
        <v>1257</v>
      </c>
      <c r="C570" t="s">
        <v>154</v>
      </c>
    </row>
    <row r="571" spans="1:3" x14ac:dyDescent="0.2">
      <c r="A571" t="str">
        <f>"00948"</f>
        <v>00948</v>
      </c>
      <c r="B571" t="s">
        <v>1258</v>
      </c>
      <c r="C571" t="s">
        <v>68</v>
      </c>
    </row>
    <row r="572" spans="1:3" x14ac:dyDescent="0.2">
      <c r="A572" t="str">
        <f>"00950"</f>
        <v>00950</v>
      </c>
      <c r="B572" t="s">
        <v>1259</v>
      </c>
      <c r="C572" t="s">
        <v>25</v>
      </c>
    </row>
    <row r="573" spans="1:3" x14ac:dyDescent="0.2">
      <c r="A573" t="str">
        <f>"00951"</f>
        <v>00951</v>
      </c>
      <c r="B573" t="s">
        <v>466</v>
      </c>
      <c r="C573" t="s">
        <v>233</v>
      </c>
    </row>
    <row r="574" spans="1:3" x14ac:dyDescent="0.2">
      <c r="A574" t="str">
        <f>"00953"</f>
        <v>00953</v>
      </c>
      <c r="B574" t="s">
        <v>1260</v>
      </c>
      <c r="C574" t="s">
        <v>97</v>
      </c>
    </row>
    <row r="575" spans="1:3" x14ac:dyDescent="0.2">
      <c r="A575" t="str">
        <f>"00956"</f>
        <v>00956</v>
      </c>
      <c r="B575" t="s">
        <v>467</v>
      </c>
      <c r="C575" t="s">
        <v>208</v>
      </c>
    </row>
    <row r="576" spans="1:3" x14ac:dyDescent="0.2">
      <c r="A576" t="str">
        <f>"00960"</f>
        <v>00960</v>
      </c>
      <c r="B576" t="s">
        <v>468</v>
      </c>
      <c r="C576" t="s">
        <v>163</v>
      </c>
    </row>
    <row r="577" spans="1:3" x14ac:dyDescent="0.2">
      <c r="A577" t="str">
        <f>"00966"</f>
        <v>00966</v>
      </c>
      <c r="B577" t="s">
        <v>469</v>
      </c>
      <c r="C577" t="s">
        <v>188</v>
      </c>
    </row>
    <row r="578" spans="1:3" x14ac:dyDescent="0.2">
      <c r="A578" t="str">
        <f>"00968"</f>
        <v>00968</v>
      </c>
      <c r="B578" t="s">
        <v>470</v>
      </c>
      <c r="C578" t="s">
        <v>233</v>
      </c>
    </row>
    <row r="579" spans="1:3" x14ac:dyDescent="0.2">
      <c r="A579" t="str">
        <f>"00970"</f>
        <v>00970</v>
      </c>
      <c r="B579" t="s">
        <v>1261</v>
      </c>
      <c r="C579" t="s">
        <v>81</v>
      </c>
    </row>
    <row r="580" spans="1:3" x14ac:dyDescent="0.2">
      <c r="A580" t="str">
        <f>"00974"</f>
        <v>00974</v>
      </c>
      <c r="B580" t="s">
        <v>1262</v>
      </c>
      <c r="C580" t="s">
        <v>81</v>
      </c>
    </row>
    <row r="581" spans="1:3" x14ac:dyDescent="0.2">
      <c r="A581" t="str">
        <f>"00975"</f>
        <v>00975</v>
      </c>
      <c r="B581" t="s">
        <v>763</v>
      </c>
      <c r="C581" t="s">
        <v>912</v>
      </c>
    </row>
    <row r="582" spans="1:3" x14ac:dyDescent="0.2">
      <c r="A582" t="str">
        <f>"00976"</f>
        <v>00976</v>
      </c>
      <c r="B582" t="s">
        <v>1263</v>
      </c>
      <c r="C582" t="s">
        <v>264</v>
      </c>
    </row>
    <row r="583" spans="1:3" x14ac:dyDescent="0.2">
      <c r="A583" t="str">
        <f>"00978"</f>
        <v>00978</v>
      </c>
      <c r="B583" t="s">
        <v>1264</v>
      </c>
      <c r="C583" t="s">
        <v>163</v>
      </c>
    </row>
    <row r="584" spans="1:3" x14ac:dyDescent="0.2">
      <c r="A584" t="str">
        <f>"00979"</f>
        <v>00979</v>
      </c>
      <c r="B584" t="s">
        <v>1265</v>
      </c>
      <c r="C584" t="s">
        <v>233</v>
      </c>
    </row>
    <row r="585" spans="1:3" x14ac:dyDescent="0.2">
      <c r="A585" t="str">
        <f>"00980"</f>
        <v>00980</v>
      </c>
      <c r="B585" t="s">
        <v>1266</v>
      </c>
      <c r="C585" t="s">
        <v>63</v>
      </c>
    </row>
    <row r="586" spans="1:3" x14ac:dyDescent="0.2">
      <c r="A586" t="str">
        <f>"00981"</f>
        <v>00981</v>
      </c>
      <c r="B586" t="s">
        <v>471</v>
      </c>
      <c r="C586" t="s">
        <v>135</v>
      </c>
    </row>
    <row r="587" spans="1:3" x14ac:dyDescent="0.2">
      <c r="A587" t="str">
        <f>"00983"</f>
        <v>00983</v>
      </c>
      <c r="B587" t="s">
        <v>1267</v>
      </c>
      <c r="C587" t="s">
        <v>162</v>
      </c>
    </row>
    <row r="588" spans="1:3" x14ac:dyDescent="0.2">
      <c r="A588" t="str">
        <f>"00987"</f>
        <v>00987</v>
      </c>
      <c r="B588" t="s">
        <v>1268</v>
      </c>
      <c r="C588" t="s">
        <v>208</v>
      </c>
    </row>
    <row r="589" spans="1:3" x14ac:dyDescent="0.2">
      <c r="A589" t="str">
        <f>"00989"</f>
        <v>00989</v>
      </c>
      <c r="B589" t="s">
        <v>1269</v>
      </c>
      <c r="C589" t="s">
        <v>163</v>
      </c>
    </row>
    <row r="590" spans="1:3" x14ac:dyDescent="0.2">
      <c r="A590" t="str">
        <f>"00990"</f>
        <v>00990</v>
      </c>
      <c r="B590" t="s">
        <v>764</v>
      </c>
      <c r="C590" t="s">
        <v>257</v>
      </c>
    </row>
    <row r="591" spans="1:3" x14ac:dyDescent="0.2">
      <c r="A591" t="str">
        <f>"00991"</f>
        <v>00991</v>
      </c>
      <c r="B591" t="s">
        <v>472</v>
      </c>
      <c r="C591" t="s">
        <v>208</v>
      </c>
    </row>
    <row r="592" spans="1:3" x14ac:dyDescent="0.2">
      <c r="A592" t="str">
        <f>"00992"</f>
        <v>00992</v>
      </c>
      <c r="B592" t="s">
        <v>473</v>
      </c>
      <c r="C592" t="s">
        <v>154</v>
      </c>
    </row>
    <row r="593" spans="1:3" x14ac:dyDescent="0.2">
      <c r="A593" t="str">
        <f>"00994"</f>
        <v>00994</v>
      </c>
      <c r="B593" t="s">
        <v>1270</v>
      </c>
      <c r="C593" t="s">
        <v>208</v>
      </c>
    </row>
    <row r="594" spans="1:3" x14ac:dyDescent="0.2">
      <c r="A594" t="str">
        <f>"00995"</f>
        <v>00995</v>
      </c>
      <c r="B594" t="s">
        <v>474</v>
      </c>
      <c r="C594" t="s">
        <v>220</v>
      </c>
    </row>
    <row r="595" spans="1:3" x14ac:dyDescent="0.2">
      <c r="A595" t="str">
        <f>"00998"</f>
        <v>00998</v>
      </c>
      <c r="B595" t="s">
        <v>475</v>
      </c>
      <c r="C595" t="s">
        <v>196</v>
      </c>
    </row>
    <row r="596" spans="1:3" x14ac:dyDescent="0.2">
      <c r="A596" t="str">
        <f>"00999"</f>
        <v>00999</v>
      </c>
      <c r="B596" t="s">
        <v>476</v>
      </c>
      <c r="C596" t="s">
        <v>101</v>
      </c>
    </row>
    <row r="597" spans="1:3" x14ac:dyDescent="0.2">
      <c r="A597" t="str">
        <f>"01001"</f>
        <v>01001</v>
      </c>
      <c r="B597" t="s">
        <v>1271</v>
      </c>
      <c r="C597" t="s">
        <v>264</v>
      </c>
    </row>
    <row r="598" spans="1:3" x14ac:dyDescent="0.2">
      <c r="A598" t="str">
        <f>"01003"</f>
        <v>01003</v>
      </c>
      <c r="B598" t="s">
        <v>765</v>
      </c>
      <c r="C598" t="s">
        <v>97</v>
      </c>
    </row>
    <row r="599" spans="1:3" x14ac:dyDescent="0.2">
      <c r="A599" t="str">
        <f>"01005"</f>
        <v>01005</v>
      </c>
      <c r="B599" t="s">
        <v>1272</v>
      </c>
      <c r="C599" t="s">
        <v>120</v>
      </c>
    </row>
    <row r="600" spans="1:3" x14ac:dyDescent="0.2">
      <c r="A600" t="str">
        <f>"01008"</f>
        <v>01008</v>
      </c>
      <c r="B600" t="s">
        <v>1273</v>
      </c>
      <c r="C600" t="s">
        <v>217</v>
      </c>
    </row>
    <row r="601" spans="1:3" x14ac:dyDescent="0.2">
      <c r="A601" t="str">
        <f>"01009"</f>
        <v>01009</v>
      </c>
      <c r="B601" t="s">
        <v>1274</v>
      </c>
      <c r="C601" t="s">
        <v>101</v>
      </c>
    </row>
    <row r="602" spans="1:3" x14ac:dyDescent="0.2">
      <c r="A602" t="str">
        <f>"01011"</f>
        <v>01011</v>
      </c>
      <c r="B602" t="s">
        <v>1275</v>
      </c>
      <c r="C602" t="s">
        <v>25</v>
      </c>
    </row>
    <row r="603" spans="1:3" x14ac:dyDescent="0.2">
      <c r="A603" t="str">
        <f>"01013"</f>
        <v>01013</v>
      </c>
      <c r="B603" t="s">
        <v>1276</v>
      </c>
      <c r="C603" t="s">
        <v>154</v>
      </c>
    </row>
    <row r="604" spans="1:3" x14ac:dyDescent="0.2">
      <c r="A604" t="str">
        <f>"01020"</f>
        <v>01020</v>
      </c>
      <c r="B604" t="s">
        <v>1277</v>
      </c>
      <c r="C604" t="s">
        <v>137</v>
      </c>
    </row>
    <row r="605" spans="1:3" x14ac:dyDescent="0.2">
      <c r="A605" t="str">
        <f>"01021"</f>
        <v>01021</v>
      </c>
      <c r="B605" t="s">
        <v>1278</v>
      </c>
      <c r="C605" t="s">
        <v>233</v>
      </c>
    </row>
    <row r="606" spans="1:3" x14ac:dyDescent="0.2">
      <c r="A606" t="str">
        <f>"01022"</f>
        <v>01022</v>
      </c>
      <c r="B606" t="s">
        <v>1279</v>
      </c>
      <c r="C606" t="s">
        <v>137</v>
      </c>
    </row>
    <row r="607" spans="1:3" x14ac:dyDescent="0.2">
      <c r="A607" t="str">
        <f>"01023"</f>
        <v>01023</v>
      </c>
      <c r="B607" t="s">
        <v>1280</v>
      </c>
      <c r="C607" t="s">
        <v>112</v>
      </c>
    </row>
    <row r="608" spans="1:3" x14ac:dyDescent="0.2">
      <c r="A608" t="str">
        <f>"01024"</f>
        <v>01024</v>
      </c>
      <c r="B608" t="s">
        <v>477</v>
      </c>
      <c r="C608" t="s">
        <v>97</v>
      </c>
    </row>
    <row r="609" spans="1:3" x14ac:dyDescent="0.2">
      <c r="A609" t="str">
        <f>"01027"</f>
        <v>01027</v>
      </c>
      <c r="B609" t="s">
        <v>1281</v>
      </c>
      <c r="C609" t="s">
        <v>120</v>
      </c>
    </row>
    <row r="610" spans="1:3" x14ac:dyDescent="0.2">
      <c r="A610" t="str">
        <f>"01028"</f>
        <v>01028</v>
      </c>
      <c r="B610" t="s">
        <v>766</v>
      </c>
      <c r="C610" t="s">
        <v>112</v>
      </c>
    </row>
    <row r="611" spans="1:3" x14ac:dyDescent="0.2">
      <c r="A611" t="str">
        <f>"01029"</f>
        <v>01029</v>
      </c>
      <c r="B611" t="s">
        <v>1282</v>
      </c>
      <c r="C611" t="s">
        <v>264</v>
      </c>
    </row>
    <row r="612" spans="1:3" x14ac:dyDescent="0.2">
      <c r="A612" t="str">
        <f>"01030"</f>
        <v>01030</v>
      </c>
      <c r="B612" t="s">
        <v>767</v>
      </c>
      <c r="C612" t="s">
        <v>163</v>
      </c>
    </row>
    <row r="613" spans="1:3" x14ac:dyDescent="0.2">
      <c r="A613" t="str">
        <f>"01033"</f>
        <v>01033</v>
      </c>
      <c r="B613" t="s">
        <v>478</v>
      </c>
      <c r="C613" t="s">
        <v>277</v>
      </c>
    </row>
    <row r="614" spans="1:3" x14ac:dyDescent="0.2">
      <c r="A614" t="str">
        <f>"01036"</f>
        <v>01036</v>
      </c>
      <c r="B614" t="s">
        <v>1283</v>
      </c>
      <c r="C614" t="s">
        <v>163</v>
      </c>
    </row>
    <row r="615" spans="1:3" x14ac:dyDescent="0.2">
      <c r="A615" t="str">
        <f>"01037"</f>
        <v>01037</v>
      </c>
      <c r="B615" t="s">
        <v>1284</v>
      </c>
      <c r="C615" t="s">
        <v>137</v>
      </c>
    </row>
    <row r="616" spans="1:3" x14ac:dyDescent="0.2">
      <c r="A616" t="str">
        <f>"01038"</f>
        <v>01038</v>
      </c>
      <c r="B616" t="s">
        <v>479</v>
      </c>
      <c r="C616" t="s">
        <v>208</v>
      </c>
    </row>
    <row r="617" spans="1:3" x14ac:dyDescent="0.2">
      <c r="A617" t="str">
        <f>"01044"</f>
        <v>01044</v>
      </c>
      <c r="B617" t="s">
        <v>480</v>
      </c>
      <c r="C617" t="s">
        <v>63</v>
      </c>
    </row>
    <row r="618" spans="1:3" x14ac:dyDescent="0.2">
      <c r="A618" t="str">
        <f>"01045"</f>
        <v>01045</v>
      </c>
      <c r="B618" t="s">
        <v>1285</v>
      </c>
      <c r="C618" t="s">
        <v>215</v>
      </c>
    </row>
    <row r="619" spans="1:3" x14ac:dyDescent="0.2">
      <c r="A619" t="str">
        <f>"01046"</f>
        <v>01046</v>
      </c>
      <c r="B619" t="s">
        <v>1286</v>
      </c>
      <c r="C619" t="s">
        <v>97</v>
      </c>
    </row>
    <row r="620" spans="1:3" x14ac:dyDescent="0.2">
      <c r="A620" t="str">
        <f>"01047"</f>
        <v>01047</v>
      </c>
      <c r="B620" t="s">
        <v>1287</v>
      </c>
      <c r="C620" t="s">
        <v>257</v>
      </c>
    </row>
    <row r="621" spans="1:3" x14ac:dyDescent="0.2">
      <c r="A621" t="str">
        <f>"01050"</f>
        <v>01050</v>
      </c>
      <c r="B621" t="s">
        <v>481</v>
      </c>
      <c r="C621" t="s">
        <v>154</v>
      </c>
    </row>
    <row r="622" spans="1:3" x14ac:dyDescent="0.2">
      <c r="A622" t="str">
        <f>"01051"</f>
        <v>01051</v>
      </c>
      <c r="B622" t="s">
        <v>482</v>
      </c>
      <c r="C622" t="s">
        <v>171</v>
      </c>
    </row>
    <row r="623" spans="1:3" x14ac:dyDescent="0.2">
      <c r="A623" t="str">
        <f>"01052"</f>
        <v>01052</v>
      </c>
      <c r="B623" t="s">
        <v>483</v>
      </c>
      <c r="C623" t="s">
        <v>220</v>
      </c>
    </row>
    <row r="624" spans="1:3" x14ac:dyDescent="0.2">
      <c r="A624" t="str">
        <f>"01053"</f>
        <v>01053</v>
      </c>
      <c r="B624" t="s">
        <v>768</v>
      </c>
      <c r="C624" t="s">
        <v>264</v>
      </c>
    </row>
    <row r="625" spans="1:3" x14ac:dyDescent="0.2">
      <c r="A625" t="str">
        <f>"01055"</f>
        <v>01055</v>
      </c>
      <c r="B625" t="s">
        <v>484</v>
      </c>
      <c r="C625" t="s">
        <v>101</v>
      </c>
    </row>
    <row r="626" spans="1:3" x14ac:dyDescent="0.2">
      <c r="A626" t="str">
        <f>"01057"</f>
        <v>01057</v>
      </c>
      <c r="B626" t="s">
        <v>485</v>
      </c>
      <c r="C626" t="s">
        <v>127</v>
      </c>
    </row>
    <row r="627" spans="1:3" x14ac:dyDescent="0.2">
      <c r="A627" t="str">
        <f>"01058"</f>
        <v>01058</v>
      </c>
      <c r="B627" t="s">
        <v>1288</v>
      </c>
      <c r="C627" t="s">
        <v>112</v>
      </c>
    </row>
    <row r="628" spans="1:3" x14ac:dyDescent="0.2">
      <c r="A628" t="str">
        <f>"01059"</f>
        <v>01059</v>
      </c>
      <c r="B628" t="s">
        <v>1289</v>
      </c>
      <c r="C628" t="s">
        <v>137</v>
      </c>
    </row>
    <row r="629" spans="1:3" x14ac:dyDescent="0.2">
      <c r="A629" t="str">
        <f>"01060"</f>
        <v>01060</v>
      </c>
      <c r="B629" t="s">
        <v>769</v>
      </c>
      <c r="C629" t="s">
        <v>97</v>
      </c>
    </row>
    <row r="630" spans="1:3" x14ac:dyDescent="0.2">
      <c r="A630" t="str">
        <f>"01061"</f>
        <v>01061</v>
      </c>
      <c r="B630" t="s">
        <v>486</v>
      </c>
      <c r="C630" t="s">
        <v>25</v>
      </c>
    </row>
    <row r="631" spans="1:3" x14ac:dyDescent="0.2">
      <c r="A631" t="str">
        <f>"01065"</f>
        <v>01065</v>
      </c>
      <c r="B631" t="s">
        <v>487</v>
      </c>
      <c r="C631" t="s">
        <v>208</v>
      </c>
    </row>
    <row r="632" spans="1:3" x14ac:dyDescent="0.2">
      <c r="A632" t="str">
        <f>"01066"</f>
        <v>01066</v>
      </c>
      <c r="B632" t="s">
        <v>488</v>
      </c>
      <c r="C632" t="s">
        <v>911</v>
      </c>
    </row>
    <row r="633" spans="1:3" x14ac:dyDescent="0.2">
      <c r="A633" t="str">
        <f>"01070"</f>
        <v>01070</v>
      </c>
      <c r="B633" t="s">
        <v>489</v>
      </c>
      <c r="C633" t="s">
        <v>120</v>
      </c>
    </row>
    <row r="634" spans="1:3" x14ac:dyDescent="0.2">
      <c r="A634" t="str">
        <f>"01071"</f>
        <v>01071</v>
      </c>
      <c r="B634" t="s">
        <v>490</v>
      </c>
      <c r="C634" t="s">
        <v>208</v>
      </c>
    </row>
    <row r="635" spans="1:3" x14ac:dyDescent="0.2">
      <c r="A635" t="str">
        <f>"01072"</f>
        <v>01072</v>
      </c>
      <c r="B635" t="s">
        <v>491</v>
      </c>
      <c r="C635" t="s">
        <v>233</v>
      </c>
    </row>
    <row r="636" spans="1:3" x14ac:dyDescent="0.2">
      <c r="A636" t="str">
        <f>"01075"</f>
        <v>01075</v>
      </c>
      <c r="B636" t="s">
        <v>1290</v>
      </c>
      <c r="C636" t="s">
        <v>137</v>
      </c>
    </row>
    <row r="637" spans="1:3" x14ac:dyDescent="0.2">
      <c r="A637" t="str">
        <f>"01079"</f>
        <v>01079</v>
      </c>
      <c r="B637" t="s">
        <v>1291</v>
      </c>
      <c r="C637" t="s">
        <v>154</v>
      </c>
    </row>
    <row r="638" spans="1:3" x14ac:dyDescent="0.2">
      <c r="A638" t="str">
        <f>"01081"</f>
        <v>01081</v>
      </c>
      <c r="B638" t="s">
        <v>1292</v>
      </c>
      <c r="C638" t="s">
        <v>233</v>
      </c>
    </row>
    <row r="639" spans="1:3" x14ac:dyDescent="0.2">
      <c r="A639" t="str">
        <f>"01082"</f>
        <v>01082</v>
      </c>
      <c r="B639" t="s">
        <v>1293</v>
      </c>
      <c r="C639" t="s">
        <v>89</v>
      </c>
    </row>
    <row r="640" spans="1:3" x14ac:dyDescent="0.2">
      <c r="A640" t="str">
        <f>"01083"</f>
        <v>01083</v>
      </c>
      <c r="B640" t="s">
        <v>492</v>
      </c>
      <c r="C640" t="s">
        <v>208</v>
      </c>
    </row>
    <row r="641" spans="1:3" x14ac:dyDescent="0.2">
      <c r="A641" t="str">
        <f>"01084"</f>
        <v>01084</v>
      </c>
      <c r="B641" t="s">
        <v>1294</v>
      </c>
      <c r="C641" t="s">
        <v>68</v>
      </c>
    </row>
    <row r="642" spans="1:3" x14ac:dyDescent="0.2">
      <c r="A642" t="str">
        <f>"01085"</f>
        <v>01085</v>
      </c>
      <c r="B642" t="s">
        <v>493</v>
      </c>
      <c r="C642" t="s">
        <v>154</v>
      </c>
    </row>
    <row r="643" spans="1:3" x14ac:dyDescent="0.2">
      <c r="A643" t="str">
        <f>"01086"</f>
        <v>01086</v>
      </c>
      <c r="B643" t="s">
        <v>1295</v>
      </c>
      <c r="C643" t="s">
        <v>120</v>
      </c>
    </row>
    <row r="644" spans="1:3" x14ac:dyDescent="0.2">
      <c r="A644" t="str">
        <f>"01087"</f>
        <v>01087</v>
      </c>
      <c r="B644" t="s">
        <v>1296</v>
      </c>
      <c r="C644" t="s">
        <v>154</v>
      </c>
    </row>
    <row r="645" spans="1:3" x14ac:dyDescent="0.2">
      <c r="A645" t="str">
        <f>"01088"</f>
        <v>01088</v>
      </c>
      <c r="B645" t="s">
        <v>770</v>
      </c>
      <c r="C645" t="s">
        <v>912</v>
      </c>
    </row>
    <row r="646" spans="1:3" x14ac:dyDescent="0.2">
      <c r="A646" t="str">
        <f>"01090"</f>
        <v>01090</v>
      </c>
      <c r="B646" t="s">
        <v>1297</v>
      </c>
      <c r="C646" t="s">
        <v>264</v>
      </c>
    </row>
    <row r="647" spans="1:3" x14ac:dyDescent="0.2">
      <c r="A647" t="str">
        <f>"01091"</f>
        <v>01091</v>
      </c>
      <c r="B647" t="s">
        <v>771</v>
      </c>
      <c r="C647" t="s">
        <v>264</v>
      </c>
    </row>
    <row r="648" spans="1:3" x14ac:dyDescent="0.2">
      <c r="A648" t="str">
        <f>"01093"</f>
        <v>01093</v>
      </c>
      <c r="B648" t="s">
        <v>494</v>
      </c>
      <c r="C648" t="s">
        <v>25</v>
      </c>
    </row>
    <row r="649" spans="1:3" x14ac:dyDescent="0.2">
      <c r="A649" t="str">
        <f>"01094"</f>
        <v>01094</v>
      </c>
      <c r="B649" t="s">
        <v>1298</v>
      </c>
      <c r="C649" t="s">
        <v>137</v>
      </c>
    </row>
    <row r="650" spans="1:3" x14ac:dyDescent="0.2">
      <c r="A650" t="str">
        <f>"01098"</f>
        <v>01098</v>
      </c>
      <c r="B650" t="s">
        <v>1299</v>
      </c>
      <c r="C650" t="s">
        <v>163</v>
      </c>
    </row>
    <row r="651" spans="1:3" x14ac:dyDescent="0.2">
      <c r="A651" t="str">
        <f>"01099"</f>
        <v>01099</v>
      </c>
      <c r="B651" t="s">
        <v>495</v>
      </c>
      <c r="C651" t="s">
        <v>25</v>
      </c>
    </row>
    <row r="652" spans="1:3" x14ac:dyDescent="0.2">
      <c r="A652" t="str">
        <f>"01100"</f>
        <v>01100</v>
      </c>
      <c r="B652" t="s">
        <v>1300</v>
      </c>
      <c r="C652" t="s">
        <v>112</v>
      </c>
    </row>
    <row r="653" spans="1:3" x14ac:dyDescent="0.2">
      <c r="A653" t="str">
        <f>"01104"</f>
        <v>01104</v>
      </c>
      <c r="B653" t="s">
        <v>1301</v>
      </c>
      <c r="C653" t="s">
        <v>264</v>
      </c>
    </row>
    <row r="654" spans="1:3" x14ac:dyDescent="0.2">
      <c r="A654" t="str">
        <f>"01105"</f>
        <v>01105</v>
      </c>
      <c r="B654" t="s">
        <v>1302</v>
      </c>
      <c r="C654" t="s">
        <v>97</v>
      </c>
    </row>
    <row r="655" spans="1:3" x14ac:dyDescent="0.2">
      <c r="A655" t="str">
        <f>"01108"</f>
        <v>01108</v>
      </c>
      <c r="B655" t="s">
        <v>496</v>
      </c>
      <c r="C655" t="s">
        <v>233</v>
      </c>
    </row>
    <row r="656" spans="1:3" x14ac:dyDescent="0.2">
      <c r="A656" t="str">
        <f>"01109"</f>
        <v>01109</v>
      </c>
      <c r="B656" t="s">
        <v>497</v>
      </c>
      <c r="C656" t="s">
        <v>163</v>
      </c>
    </row>
    <row r="657" spans="1:3" x14ac:dyDescent="0.2">
      <c r="A657" t="str">
        <f>"01110"</f>
        <v>01110</v>
      </c>
      <c r="B657" t="s">
        <v>1303</v>
      </c>
      <c r="C657" t="s">
        <v>25</v>
      </c>
    </row>
    <row r="658" spans="1:3" x14ac:dyDescent="0.2">
      <c r="A658" t="str">
        <f>"01111"</f>
        <v>01111</v>
      </c>
      <c r="B658" t="s">
        <v>1304</v>
      </c>
      <c r="C658" t="s">
        <v>97</v>
      </c>
    </row>
    <row r="659" spans="1:3" x14ac:dyDescent="0.2">
      <c r="A659" t="str">
        <f>"01112"</f>
        <v>01112</v>
      </c>
      <c r="B659" t="s">
        <v>498</v>
      </c>
      <c r="C659" t="s">
        <v>911</v>
      </c>
    </row>
    <row r="660" spans="1:3" x14ac:dyDescent="0.2">
      <c r="A660" t="str">
        <f>"01113"</f>
        <v>01113</v>
      </c>
      <c r="B660" t="s">
        <v>499</v>
      </c>
      <c r="C660" t="s">
        <v>163</v>
      </c>
    </row>
    <row r="661" spans="1:3" x14ac:dyDescent="0.2">
      <c r="A661" t="str">
        <f>"01114"</f>
        <v>01114</v>
      </c>
      <c r="B661" t="s">
        <v>500</v>
      </c>
      <c r="C661" t="s">
        <v>127</v>
      </c>
    </row>
    <row r="662" spans="1:3" x14ac:dyDescent="0.2">
      <c r="A662" t="str">
        <f>"01115"</f>
        <v>01115</v>
      </c>
      <c r="B662" t="s">
        <v>1305</v>
      </c>
      <c r="C662" t="s">
        <v>68</v>
      </c>
    </row>
    <row r="663" spans="1:3" x14ac:dyDescent="0.2">
      <c r="A663" t="str">
        <f>"01116"</f>
        <v>01116</v>
      </c>
      <c r="B663" t="s">
        <v>1306</v>
      </c>
      <c r="C663" t="s">
        <v>264</v>
      </c>
    </row>
    <row r="664" spans="1:3" x14ac:dyDescent="0.2">
      <c r="A664" t="str">
        <f>"01117"</f>
        <v>01117</v>
      </c>
      <c r="B664" t="s">
        <v>501</v>
      </c>
      <c r="C664" t="s">
        <v>68</v>
      </c>
    </row>
    <row r="665" spans="1:3" x14ac:dyDescent="0.2">
      <c r="A665" t="str">
        <f>"01118"</f>
        <v>01118</v>
      </c>
      <c r="B665" t="s">
        <v>1307</v>
      </c>
      <c r="C665" t="s">
        <v>162</v>
      </c>
    </row>
    <row r="666" spans="1:3" x14ac:dyDescent="0.2">
      <c r="A666" t="str">
        <f>"01119"</f>
        <v>01119</v>
      </c>
      <c r="B666" t="s">
        <v>502</v>
      </c>
      <c r="C666" t="s">
        <v>137</v>
      </c>
    </row>
    <row r="667" spans="1:3" x14ac:dyDescent="0.2">
      <c r="A667" t="str">
        <f>"01120"</f>
        <v>01120</v>
      </c>
      <c r="B667" t="s">
        <v>1308</v>
      </c>
      <c r="C667" t="s">
        <v>112</v>
      </c>
    </row>
    <row r="668" spans="1:3" x14ac:dyDescent="0.2">
      <c r="A668" t="str">
        <f>"01121"</f>
        <v>01121</v>
      </c>
      <c r="B668" t="s">
        <v>1309</v>
      </c>
      <c r="C668" t="s">
        <v>112</v>
      </c>
    </row>
    <row r="669" spans="1:3" x14ac:dyDescent="0.2">
      <c r="A669" t="str">
        <f>"01122"</f>
        <v>01122</v>
      </c>
      <c r="B669" t="s">
        <v>1310</v>
      </c>
      <c r="C669" t="s">
        <v>233</v>
      </c>
    </row>
    <row r="670" spans="1:3" x14ac:dyDescent="0.2">
      <c r="A670" t="str">
        <f>"01123"</f>
        <v>01123</v>
      </c>
      <c r="B670" t="s">
        <v>1311</v>
      </c>
      <c r="C670" t="s">
        <v>120</v>
      </c>
    </row>
    <row r="671" spans="1:3" x14ac:dyDescent="0.2">
      <c r="A671" t="str">
        <f>"01125"</f>
        <v>01125</v>
      </c>
      <c r="B671" t="s">
        <v>1312</v>
      </c>
      <c r="C671" t="s">
        <v>163</v>
      </c>
    </row>
    <row r="672" spans="1:3" x14ac:dyDescent="0.2">
      <c r="A672" t="str">
        <f>"01126"</f>
        <v>01126</v>
      </c>
      <c r="B672" t="s">
        <v>503</v>
      </c>
      <c r="C672" t="s">
        <v>120</v>
      </c>
    </row>
    <row r="673" spans="1:3" x14ac:dyDescent="0.2">
      <c r="A673" t="str">
        <f>"01127"</f>
        <v>01127</v>
      </c>
      <c r="B673" t="s">
        <v>504</v>
      </c>
      <c r="C673" t="s">
        <v>217</v>
      </c>
    </row>
    <row r="674" spans="1:3" x14ac:dyDescent="0.2">
      <c r="A674" t="str">
        <f>"01128"</f>
        <v>01128</v>
      </c>
      <c r="B674" t="s">
        <v>1313</v>
      </c>
      <c r="C674" t="s">
        <v>101</v>
      </c>
    </row>
    <row r="675" spans="1:3" x14ac:dyDescent="0.2">
      <c r="A675" t="str">
        <f>"01129"</f>
        <v>01129</v>
      </c>
      <c r="B675" t="s">
        <v>1314</v>
      </c>
      <c r="C675" t="s">
        <v>208</v>
      </c>
    </row>
    <row r="676" spans="1:3" x14ac:dyDescent="0.2">
      <c r="A676" t="str">
        <f>"01130"</f>
        <v>01130</v>
      </c>
      <c r="B676" t="s">
        <v>1315</v>
      </c>
      <c r="C676" t="s">
        <v>127</v>
      </c>
    </row>
    <row r="677" spans="1:3" x14ac:dyDescent="0.2">
      <c r="A677" t="str">
        <f>"01133"</f>
        <v>01133</v>
      </c>
      <c r="B677" t="s">
        <v>505</v>
      </c>
      <c r="C677" t="s">
        <v>233</v>
      </c>
    </row>
    <row r="678" spans="1:3" x14ac:dyDescent="0.2">
      <c r="A678" t="str">
        <f>"01134"</f>
        <v>01134</v>
      </c>
      <c r="B678" t="s">
        <v>1316</v>
      </c>
      <c r="C678" t="s">
        <v>112</v>
      </c>
    </row>
    <row r="679" spans="1:3" x14ac:dyDescent="0.2">
      <c r="A679" t="str">
        <f>"01137"</f>
        <v>01137</v>
      </c>
      <c r="B679" t="s">
        <v>1317</v>
      </c>
      <c r="C679" t="s">
        <v>81</v>
      </c>
    </row>
    <row r="680" spans="1:3" x14ac:dyDescent="0.2">
      <c r="A680" t="str">
        <f>"01138"</f>
        <v>01138</v>
      </c>
      <c r="B680" t="s">
        <v>506</v>
      </c>
      <c r="C680" t="s">
        <v>220</v>
      </c>
    </row>
    <row r="681" spans="1:3" x14ac:dyDescent="0.2">
      <c r="A681" t="str">
        <f>"01140"</f>
        <v>01140</v>
      </c>
      <c r="B681" t="s">
        <v>1318</v>
      </c>
      <c r="C681" t="s">
        <v>171</v>
      </c>
    </row>
    <row r="682" spans="1:3" x14ac:dyDescent="0.2">
      <c r="A682" t="str">
        <f>"01141"</f>
        <v>01141</v>
      </c>
      <c r="B682" t="s">
        <v>1319</v>
      </c>
      <c r="C682" t="s">
        <v>171</v>
      </c>
    </row>
    <row r="683" spans="1:3" x14ac:dyDescent="0.2">
      <c r="A683" t="str">
        <f>"01145"</f>
        <v>01145</v>
      </c>
      <c r="B683" t="s">
        <v>1320</v>
      </c>
      <c r="C683" t="s">
        <v>220</v>
      </c>
    </row>
    <row r="684" spans="1:3" x14ac:dyDescent="0.2">
      <c r="A684" t="str">
        <f>"01147"</f>
        <v>01147</v>
      </c>
      <c r="B684" t="s">
        <v>1321</v>
      </c>
      <c r="C684" t="s">
        <v>137</v>
      </c>
    </row>
    <row r="685" spans="1:3" x14ac:dyDescent="0.2">
      <c r="A685" t="str">
        <f>"01148"</f>
        <v>01148</v>
      </c>
      <c r="B685" t="s">
        <v>1322</v>
      </c>
      <c r="C685" t="s">
        <v>127</v>
      </c>
    </row>
    <row r="686" spans="1:3" x14ac:dyDescent="0.2">
      <c r="A686" t="str">
        <f>"01152"</f>
        <v>01152</v>
      </c>
      <c r="B686" t="s">
        <v>1323</v>
      </c>
      <c r="C686" t="s">
        <v>68</v>
      </c>
    </row>
    <row r="687" spans="1:3" x14ac:dyDescent="0.2">
      <c r="A687" t="str">
        <f>"01153"</f>
        <v>01153</v>
      </c>
      <c r="B687" t="s">
        <v>1324</v>
      </c>
      <c r="C687" t="s">
        <v>163</v>
      </c>
    </row>
    <row r="688" spans="1:3" x14ac:dyDescent="0.2">
      <c r="A688" t="str">
        <f>"01156"</f>
        <v>01156</v>
      </c>
      <c r="B688" t="s">
        <v>1325</v>
      </c>
      <c r="C688" t="s">
        <v>233</v>
      </c>
    </row>
    <row r="689" spans="1:3" x14ac:dyDescent="0.2">
      <c r="A689" t="str">
        <f>"01157"</f>
        <v>01157</v>
      </c>
      <c r="B689" t="s">
        <v>507</v>
      </c>
      <c r="C689" t="s">
        <v>233</v>
      </c>
    </row>
    <row r="690" spans="1:3" x14ac:dyDescent="0.2">
      <c r="A690" t="str">
        <f>"01159"</f>
        <v>01159</v>
      </c>
      <c r="B690" t="s">
        <v>1326</v>
      </c>
      <c r="C690" t="s">
        <v>97</v>
      </c>
    </row>
    <row r="691" spans="1:3" x14ac:dyDescent="0.2">
      <c r="A691" t="str">
        <f>"01160"</f>
        <v>01160</v>
      </c>
      <c r="B691" t="s">
        <v>1327</v>
      </c>
      <c r="C691" t="s">
        <v>171</v>
      </c>
    </row>
    <row r="692" spans="1:3" x14ac:dyDescent="0.2">
      <c r="A692" t="str">
        <f>"01161"</f>
        <v>01161</v>
      </c>
      <c r="B692" t="s">
        <v>1328</v>
      </c>
      <c r="C692" t="s">
        <v>911</v>
      </c>
    </row>
    <row r="693" spans="1:3" x14ac:dyDescent="0.2">
      <c r="A693" t="str">
        <f>"01162"</f>
        <v>01162</v>
      </c>
      <c r="B693" t="s">
        <v>1329</v>
      </c>
      <c r="C693" t="s">
        <v>162</v>
      </c>
    </row>
    <row r="694" spans="1:3" x14ac:dyDescent="0.2">
      <c r="A694" t="str">
        <f>"01163"</f>
        <v>01163</v>
      </c>
      <c r="B694" t="s">
        <v>1330</v>
      </c>
      <c r="C694" t="s">
        <v>97</v>
      </c>
    </row>
    <row r="695" spans="1:3" x14ac:dyDescent="0.2">
      <c r="A695" t="str">
        <f>"01164"</f>
        <v>01164</v>
      </c>
      <c r="B695" t="s">
        <v>508</v>
      </c>
      <c r="C695" t="s">
        <v>264</v>
      </c>
    </row>
    <row r="696" spans="1:3" x14ac:dyDescent="0.2">
      <c r="A696" t="str">
        <f>"01167"</f>
        <v>01167</v>
      </c>
      <c r="B696" t="s">
        <v>509</v>
      </c>
      <c r="C696" t="s">
        <v>25</v>
      </c>
    </row>
    <row r="697" spans="1:3" x14ac:dyDescent="0.2">
      <c r="A697" t="str">
        <f>"01168"</f>
        <v>01168</v>
      </c>
      <c r="B697" t="s">
        <v>1331</v>
      </c>
      <c r="C697" t="s">
        <v>163</v>
      </c>
    </row>
    <row r="698" spans="1:3" x14ac:dyDescent="0.2">
      <c r="A698" t="str">
        <f>"01170"</f>
        <v>01170</v>
      </c>
      <c r="B698" t="s">
        <v>1332</v>
      </c>
      <c r="C698" t="s">
        <v>112</v>
      </c>
    </row>
    <row r="699" spans="1:3" x14ac:dyDescent="0.2">
      <c r="A699" t="str">
        <f>"01171"</f>
        <v>01171</v>
      </c>
      <c r="B699" t="s">
        <v>772</v>
      </c>
      <c r="C699" t="s">
        <v>912</v>
      </c>
    </row>
    <row r="700" spans="1:3" x14ac:dyDescent="0.2">
      <c r="A700" t="str">
        <f>"01177"</f>
        <v>01177</v>
      </c>
      <c r="B700" t="s">
        <v>510</v>
      </c>
      <c r="C700" t="s">
        <v>25</v>
      </c>
    </row>
    <row r="701" spans="1:3" x14ac:dyDescent="0.2">
      <c r="A701" t="str">
        <f>"01179"</f>
        <v>01179</v>
      </c>
      <c r="B701" t="s">
        <v>511</v>
      </c>
      <c r="C701" t="s">
        <v>101</v>
      </c>
    </row>
    <row r="702" spans="1:3" x14ac:dyDescent="0.2">
      <c r="A702" t="str">
        <f>"01180"</f>
        <v>01180</v>
      </c>
      <c r="B702" t="s">
        <v>1333</v>
      </c>
      <c r="C702" t="s">
        <v>101</v>
      </c>
    </row>
    <row r="703" spans="1:3" x14ac:dyDescent="0.2">
      <c r="A703" t="str">
        <f>"01181"</f>
        <v>01181</v>
      </c>
      <c r="B703" t="s">
        <v>1334</v>
      </c>
      <c r="C703" t="s">
        <v>101</v>
      </c>
    </row>
    <row r="704" spans="1:3" x14ac:dyDescent="0.2">
      <c r="A704" t="str">
        <f>"01182"</f>
        <v>01182</v>
      </c>
      <c r="B704" t="s">
        <v>1335</v>
      </c>
      <c r="C704" t="s">
        <v>272</v>
      </c>
    </row>
    <row r="705" spans="1:3" x14ac:dyDescent="0.2">
      <c r="A705" t="str">
        <f>"01183"</f>
        <v>01183</v>
      </c>
      <c r="B705" t="s">
        <v>1336</v>
      </c>
      <c r="C705" t="s">
        <v>162</v>
      </c>
    </row>
    <row r="706" spans="1:3" x14ac:dyDescent="0.2">
      <c r="A706" t="str">
        <f>"01184"</f>
        <v>01184</v>
      </c>
      <c r="B706" t="s">
        <v>1337</v>
      </c>
      <c r="C706" t="s">
        <v>233</v>
      </c>
    </row>
    <row r="707" spans="1:3" x14ac:dyDescent="0.2">
      <c r="A707" t="str">
        <f>"01186"</f>
        <v>01186</v>
      </c>
      <c r="B707" t="s">
        <v>512</v>
      </c>
      <c r="C707" t="s">
        <v>162</v>
      </c>
    </row>
    <row r="708" spans="1:3" x14ac:dyDescent="0.2">
      <c r="A708" t="str">
        <f>"01187"</f>
        <v>01187</v>
      </c>
      <c r="B708" t="s">
        <v>1338</v>
      </c>
      <c r="C708" t="s">
        <v>911</v>
      </c>
    </row>
    <row r="709" spans="1:3" x14ac:dyDescent="0.2">
      <c r="A709" t="str">
        <f>"01193"</f>
        <v>01193</v>
      </c>
      <c r="B709" t="s">
        <v>513</v>
      </c>
      <c r="C709" t="s">
        <v>208</v>
      </c>
    </row>
    <row r="710" spans="1:3" x14ac:dyDescent="0.2">
      <c r="A710" t="str">
        <f>"01196"</f>
        <v>01196</v>
      </c>
      <c r="B710" t="s">
        <v>514</v>
      </c>
      <c r="C710" t="s">
        <v>233</v>
      </c>
    </row>
    <row r="711" spans="1:3" x14ac:dyDescent="0.2">
      <c r="A711" t="str">
        <f>"01199"</f>
        <v>01199</v>
      </c>
      <c r="B711" t="s">
        <v>515</v>
      </c>
      <c r="C711" t="s">
        <v>220</v>
      </c>
    </row>
    <row r="712" spans="1:3" x14ac:dyDescent="0.2">
      <c r="A712" t="str">
        <f>"01200"</f>
        <v>01200</v>
      </c>
      <c r="B712" t="s">
        <v>773</v>
      </c>
      <c r="C712" t="s">
        <v>163</v>
      </c>
    </row>
    <row r="713" spans="1:3" x14ac:dyDescent="0.2">
      <c r="A713" t="str">
        <f>"01201"</f>
        <v>01201</v>
      </c>
      <c r="B713" t="s">
        <v>1339</v>
      </c>
      <c r="C713" t="s">
        <v>233</v>
      </c>
    </row>
    <row r="714" spans="1:3" x14ac:dyDescent="0.2">
      <c r="A714" t="str">
        <f>"01202"</f>
        <v>01202</v>
      </c>
      <c r="B714" t="s">
        <v>1340</v>
      </c>
      <c r="C714" t="s">
        <v>154</v>
      </c>
    </row>
    <row r="715" spans="1:3" x14ac:dyDescent="0.2">
      <c r="A715" t="str">
        <f>"01203"</f>
        <v>01203</v>
      </c>
      <c r="B715" t="s">
        <v>1341</v>
      </c>
      <c r="C715" t="s">
        <v>66</v>
      </c>
    </row>
    <row r="716" spans="1:3" x14ac:dyDescent="0.2">
      <c r="A716" t="str">
        <f>"01204"</f>
        <v>01204</v>
      </c>
      <c r="B716" t="s">
        <v>1342</v>
      </c>
      <c r="C716" t="s">
        <v>137</v>
      </c>
    </row>
    <row r="717" spans="1:3" x14ac:dyDescent="0.2">
      <c r="A717" t="str">
        <f>"01205"</f>
        <v>01205</v>
      </c>
      <c r="B717" t="s">
        <v>1343</v>
      </c>
      <c r="C717" t="s">
        <v>277</v>
      </c>
    </row>
    <row r="718" spans="1:3" x14ac:dyDescent="0.2">
      <c r="A718" t="str">
        <f>"01206"</f>
        <v>01206</v>
      </c>
      <c r="B718" t="s">
        <v>1344</v>
      </c>
      <c r="C718" t="s">
        <v>137</v>
      </c>
    </row>
    <row r="719" spans="1:3" x14ac:dyDescent="0.2">
      <c r="A719" t="str">
        <f>"01208"</f>
        <v>01208</v>
      </c>
      <c r="B719" t="s">
        <v>516</v>
      </c>
      <c r="C719" t="s">
        <v>264</v>
      </c>
    </row>
    <row r="720" spans="1:3" x14ac:dyDescent="0.2">
      <c r="A720" t="str">
        <f>"01209"</f>
        <v>01209</v>
      </c>
      <c r="B720" t="s">
        <v>517</v>
      </c>
      <c r="C720" t="s">
        <v>163</v>
      </c>
    </row>
    <row r="721" spans="1:3" x14ac:dyDescent="0.2">
      <c r="A721" t="str">
        <f>"01211"</f>
        <v>01211</v>
      </c>
      <c r="B721" t="s">
        <v>518</v>
      </c>
      <c r="C721" t="s">
        <v>127</v>
      </c>
    </row>
    <row r="722" spans="1:3" x14ac:dyDescent="0.2">
      <c r="A722" t="str">
        <f>"01213"</f>
        <v>01213</v>
      </c>
      <c r="B722" t="s">
        <v>1345</v>
      </c>
      <c r="C722" t="s">
        <v>233</v>
      </c>
    </row>
    <row r="723" spans="1:3" x14ac:dyDescent="0.2">
      <c r="A723" t="str">
        <f>"01216"</f>
        <v>01216</v>
      </c>
      <c r="B723" t="s">
        <v>1346</v>
      </c>
      <c r="C723" t="s">
        <v>196</v>
      </c>
    </row>
    <row r="724" spans="1:3" x14ac:dyDescent="0.2">
      <c r="A724" t="str">
        <f>"01218"</f>
        <v>01218</v>
      </c>
      <c r="B724" t="s">
        <v>1347</v>
      </c>
      <c r="C724" t="s">
        <v>163</v>
      </c>
    </row>
    <row r="725" spans="1:3" x14ac:dyDescent="0.2">
      <c r="A725" t="str">
        <f>"01221"</f>
        <v>01221</v>
      </c>
      <c r="B725" t="s">
        <v>1348</v>
      </c>
      <c r="C725" t="s">
        <v>101</v>
      </c>
    </row>
    <row r="726" spans="1:3" x14ac:dyDescent="0.2">
      <c r="A726" t="str">
        <f>"01223"</f>
        <v>01223</v>
      </c>
      <c r="B726" t="s">
        <v>519</v>
      </c>
      <c r="C726" t="s">
        <v>81</v>
      </c>
    </row>
    <row r="727" spans="1:3" x14ac:dyDescent="0.2">
      <c r="A727" t="str">
        <f>"01224"</f>
        <v>01224</v>
      </c>
      <c r="B727" t="s">
        <v>1349</v>
      </c>
      <c r="C727" t="s">
        <v>163</v>
      </c>
    </row>
    <row r="728" spans="1:3" x14ac:dyDescent="0.2">
      <c r="A728" t="str">
        <f>"01226"</f>
        <v>01226</v>
      </c>
      <c r="B728" t="s">
        <v>1350</v>
      </c>
      <c r="C728" t="s">
        <v>171</v>
      </c>
    </row>
    <row r="729" spans="1:3" x14ac:dyDescent="0.2">
      <c r="A729" t="str">
        <f>"01228"</f>
        <v>01228</v>
      </c>
      <c r="B729" t="s">
        <v>774</v>
      </c>
      <c r="C729" t="s">
        <v>25</v>
      </c>
    </row>
    <row r="730" spans="1:3" x14ac:dyDescent="0.2">
      <c r="A730" t="str">
        <f>"01229"</f>
        <v>01229</v>
      </c>
      <c r="B730" t="s">
        <v>1351</v>
      </c>
      <c r="C730" t="s">
        <v>912</v>
      </c>
    </row>
    <row r="731" spans="1:3" x14ac:dyDescent="0.2">
      <c r="A731" t="str">
        <f>"01231"</f>
        <v>01231</v>
      </c>
      <c r="B731" t="s">
        <v>1352</v>
      </c>
      <c r="C731" t="s">
        <v>264</v>
      </c>
    </row>
    <row r="732" spans="1:3" x14ac:dyDescent="0.2">
      <c r="A732" t="str">
        <f>"01232"</f>
        <v>01232</v>
      </c>
      <c r="B732" t="s">
        <v>1353</v>
      </c>
      <c r="C732" t="s">
        <v>163</v>
      </c>
    </row>
    <row r="733" spans="1:3" x14ac:dyDescent="0.2">
      <c r="A733" t="str">
        <f>"01234"</f>
        <v>01234</v>
      </c>
      <c r="B733" t="s">
        <v>520</v>
      </c>
      <c r="C733" t="s">
        <v>112</v>
      </c>
    </row>
    <row r="734" spans="1:3" x14ac:dyDescent="0.2">
      <c r="A734" t="str">
        <f>"01235"</f>
        <v>01235</v>
      </c>
      <c r="B734" t="s">
        <v>1354</v>
      </c>
      <c r="C734" t="s">
        <v>101</v>
      </c>
    </row>
    <row r="735" spans="1:3" x14ac:dyDescent="0.2">
      <c r="A735" t="str">
        <f>"01236"</f>
        <v>01236</v>
      </c>
      <c r="B735" t="s">
        <v>1355</v>
      </c>
      <c r="C735" t="s">
        <v>137</v>
      </c>
    </row>
    <row r="736" spans="1:3" x14ac:dyDescent="0.2">
      <c r="A736" t="str">
        <f>"01238"</f>
        <v>01238</v>
      </c>
      <c r="B736" t="s">
        <v>1356</v>
      </c>
      <c r="C736" t="s">
        <v>163</v>
      </c>
    </row>
    <row r="737" spans="1:3" x14ac:dyDescent="0.2">
      <c r="A737" t="str">
        <f>"01239"</f>
        <v>01239</v>
      </c>
      <c r="B737" t="s">
        <v>1357</v>
      </c>
      <c r="C737" t="s">
        <v>217</v>
      </c>
    </row>
    <row r="738" spans="1:3" x14ac:dyDescent="0.2">
      <c r="A738" t="str">
        <f>"01240"</f>
        <v>01240</v>
      </c>
      <c r="B738" t="s">
        <v>1358</v>
      </c>
      <c r="C738" t="s">
        <v>162</v>
      </c>
    </row>
    <row r="739" spans="1:3" x14ac:dyDescent="0.2">
      <c r="A739" t="str">
        <f>"01244"</f>
        <v>01244</v>
      </c>
      <c r="B739" t="s">
        <v>521</v>
      </c>
      <c r="C739" t="s">
        <v>25</v>
      </c>
    </row>
    <row r="740" spans="1:3" x14ac:dyDescent="0.2">
      <c r="A740" t="str">
        <f>"01245"</f>
        <v>01245</v>
      </c>
      <c r="B740" t="s">
        <v>1359</v>
      </c>
      <c r="C740" t="s">
        <v>101</v>
      </c>
    </row>
    <row r="741" spans="1:3" x14ac:dyDescent="0.2">
      <c r="A741" t="str">
        <f>"01247"</f>
        <v>01247</v>
      </c>
      <c r="B741" t="s">
        <v>775</v>
      </c>
      <c r="C741" t="s">
        <v>112</v>
      </c>
    </row>
    <row r="742" spans="1:3" x14ac:dyDescent="0.2">
      <c r="A742" t="str">
        <f>"01250"</f>
        <v>01250</v>
      </c>
      <c r="B742" t="s">
        <v>1360</v>
      </c>
      <c r="C742" t="s">
        <v>208</v>
      </c>
    </row>
    <row r="743" spans="1:3" x14ac:dyDescent="0.2">
      <c r="A743" t="str">
        <f>"01251"</f>
        <v>01251</v>
      </c>
      <c r="B743" t="s">
        <v>1361</v>
      </c>
      <c r="C743" t="s">
        <v>277</v>
      </c>
    </row>
    <row r="744" spans="1:3" x14ac:dyDescent="0.2">
      <c r="A744" t="str">
        <f>"01252"</f>
        <v>01252</v>
      </c>
      <c r="B744" t="s">
        <v>1362</v>
      </c>
      <c r="C744" t="s">
        <v>162</v>
      </c>
    </row>
    <row r="745" spans="1:3" x14ac:dyDescent="0.2">
      <c r="A745" t="str">
        <f>"01255"</f>
        <v>01255</v>
      </c>
      <c r="B745" t="s">
        <v>1363</v>
      </c>
      <c r="C745" t="s">
        <v>81</v>
      </c>
    </row>
    <row r="746" spans="1:3" x14ac:dyDescent="0.2">
      <c r="A746" t="str">
        <f>"01257"</f>
        <v>01257</v>
      </c>
      <c r="B746" t="s">
        <v>1364</v>
      </c>
      <c r="C746" t="s">
        <v>208</v>
      </c>
    </row>
    <row r="747" spans="1:3" x14ac:dyDescent="0.2">
      <c r="A747" t="str">
        <f>"01258"</f>
        <v>01258</v>
      </c>
      <c r="B747" t="s">
        <v>522</v>
      </c>
      <c r="C747" t="s">
        <v>264</v>
      </c>
    </row>
    <row r="748" spans="1:3" x14ac:dyDescent="0.2">
      <c r="A748" t="str">
        <f>"01260"</f>
        <v>01260</v>
      </c>
      <c r="B748" t="s">
        <v>1365</v>
      </c>
      <c r="C748" t="s">
        <v>171</v>
      </c>
    </row>
    <row r="749" spans="1:3" x14ac:dyDescent="0.2">
      <c r="A749" t="str">
        <f>"01262"</f>
        <v>01262</v>
      </c>
      <c r="B749" t="s">
        <v>1366</v>
      </c>
      <c r="C749" t="s">
        <v>68</v>
      </c>
    </row>
    <row r="750" spans="1:3" x14ac:dyDescent="0.2">
      <c r="A750" t="str">
        <f>"01268"</f>
        <v>01268</v>
      </c>
      <c r="B750" t="s">
        <v>523</v>
      </c>
      <c r="C750" t="s">
        <v>81</v>
      </c>
    </row>
    <row r="751" spans="1:3" x14ac:dyDescent="0.2">
      <c r="A751" t="str">
        <f>"01270"</f>
        <v>01270</v>
      </c>
      <c r="B751" t="s">
        <v>1367</v>
      </c>
      <c r="C751" t="s">
        <v>101</v>
      </c>
    </row>
    <row r="752" spans="1:3" x14ac:dyDescent="0.2">
      <c r="A752" t="str">
        <f>"01271"</f>
        <v>01271</v>
      </c>
      <c r="B752" t="s">
        <v>1368</v>
      </c>
      <c r="C752" t="s">
        <v>163</v>
      </c>
    </row>
    <row r="753" spans="1:3" x14ac:dyDescent="0.2">
      <c r="A753" t="str">
        <f>"01272"</f>
        <v>01272</v>
      </c>
      <c r="B753" t="s">
        <v>1369</v>
      </c>
      <c r="C753" t="s">
        <v>233</v>
      </c>
    </row>
    <row r="754" spans="1:3" x14ac:dyDescent="0.2">
      <c r="A754" t="str">
        <f>"01273"</f>
        <v>01273</v>
      </c>
      <c r="B754" t="s">
        <v>1370</v>
      </c>
      <c r="C754" t="s">
        <v>171</v>
      </c>
    </row>
    <row r="755" spans="1:3" x14ac:dyDescent="0.2">
      <c r="A755" t="str">
        <f>"01274"</f>
        <v>01274</v>
      </c>
      <c r="B755" t="s">
        <v>524</v>
      </c>
      <c r="C755" t="s">
        <v>137</v>
      </c>
    </row>
    <row r="756" spans="1:3" x14ac:dyDescent="0.2">
      <c r="A756" t="str">
        <f>"01276"</f>
        <v>01276</v>
      </c>
      <c r="B756" t="s">
        <v>525</v>
      </c>
      <c r="C756" t="s">
        <v>25</v>
      </c>
    </row>
    <row r="757" spans="1:3" x14ac:dyDescent="0.2">
      <c r="A757" t="str">
        <f>"01277"</f>
        <v>01277</v>
      </c>
      <c r="B757" t="s">
        <v>776</v>
      </c>
      <c r="C757" t="s">
        <v>912</v>
      </c>
    </row>
    <row r="758" spans="1:3" x14ac:dyDescent="0.2">
      <c r="A758" t="str">
        <f>"01280"</f>
        <v>01280</v>
      </c>
      <c r="B758" t="s">
        <v>526</v>
      </c>
      <c r="C758" t="s">
        <v>120</v>
      </c>
    </row>
    <row r="759" spans="1:3" x14ac:dyDescent="0.2">
      <c r="A759" t="str">
        <f>"01283"</f>
        <v>01283</v>
      </c>
      <c r="B759" t="s">
        <v>777</v>
      </c>
      <c r="C759" t="s">
        <v>162</v>
      </c>
    </row>
    <row r="760" spans="1:3" x14ac:dyDescent="0.2">
      <c r="A760" t="str">
        <f>"01284"</f>
        <v>01284</v>
      </c>
      <c r="B760" t="s">
        <v>1371</v>
      </c>
      <c r="C760" t="s">
        <v>97</v>
      </c>
    </row>
    <row r="761" spans="1:3" x14ac:dyDescent="0.2">
      <c r="A761" t="str">
        <f>"01285"</f>
        <v>01285</v>
      </c>
      <c r="B761" t="s">
        <v>1372</v>
      </c>
      <c r="C761" t="s">
        <v>68</v>
      </c>
    </row>
    <row r="762" spans="1:3" x14ac:dyDescent="0.2">
      <c r="A762" t="str">
        <f>"01286"</f>
        <v>01286</v>
      </c>
      <c r="B762" t="s">
        <v>527</v>
      </c>
      <c r="C762" t="s">
        <v>233</v>
      </c>
    </row>
    <row r="763" spans="1:3" x14ac:dyDescent="0.2">
      <c r="A763" t="str">
        <f>"01288"</f>
        <v>01288</v>
      </c>
      <c r="B763" t="s">
        <v>528</v>
      </c>
      <c r="C763" t="s">
        <v>196</v>
      </c>
    </row>
    <row r="764" spans="1:3" x14ac:dyDescent="0.2">
      <c r="A764" t="str">
        <f>"01290"</f>
        <v>01290</v>
      </c>
      <c r="B764" t="s">
        <v>1373</v>
      </c>
      <c r="C764" t="s">
        <v>171</v>
      </c>
    </row>
    <row r="765" spans="1:3" x14ac:dyDescent="0.2">
      <c r="A765" t="str">
        <f>"01292"</f>
        <v>01292</v>
      </c>
      <c r="B765" t="s">
        <v>1374</v>
      </c>
      <c r="C765" t="s">
        <v>220</v>
      </c>
    </row>
    <row r="766" spans="1:3" x14ac:dyDescent="0.2">
      <c r="A766" t="str">
        <f>"01298"</f>
        <v>01298</v>
      </c>
      <c r="B766" t="s">
        <v>1375</v>
      </c>
      <c r="C766" t="s">
        <v>911</v>
      </c>
    </row>
    <row r="767" spans="1:3" x14ac:dyDescent="0.2">
      <c r="A767" t="str">
        <f>"01299"</f>
        <v>01299</v>
      </c>
      <c r="B767" t="s">
        <v>529</v>
      </c>
      <c r="C767" t="s">
        <v>188</v>
      </c>
    </row>
    <row r="768" spans="1:3" x14ac:dyDescent="0.2">
      <c r="A768" t="str">
        <f>"01300"</f>
        <v>01300</v>
      </c>
      <c r="B768" t="s">
        <v>1376</v>
      </c>
      <c r="C768" t="s">
        <v>154</v>
      </c>
    </row>
    <row r="769" spans="1:3" x14ac:dyDescent="0.2">
      <c r="A769" t="str">
        <f>"01301"</f>
        <v>01301</v>
      </c>
      <c r="B769" t="s">
        <v>1377</v>
      </c>
      <c r="C769" t="s">
        <v>233</v>
      </c>
    </row>
    <row r="770" spans="1:3" x14ac:dyDescent="0.2">
      <c r="A770" t="str">
        <f>"01302"</f>
        <v>01302</v>
      </c>
      <c r="B770" t="s">
        <v>530</v>
      </c>
      <c r="C770" t="s">
        <v>911</v>
      </c>
    </row>
    <row r="771" spans="1:3" x14ac:dyDescent="0.2">
      <c r="A771" t="str">
        <f>"01303"</f>
        <v>01303</v>
      </c>
      <c r="B771" t="s">
        <v>1378</v>
      </c>
      <c r="C771" t="s">
        <v>912</v>
      </c>
    </row>
    <row r="772" spans="1:3" x14ac:dyDescent="0.2">
      <c r="A772" t="str">
        <f>"01304"</f>
        <v>01304</v>
      </c>
      <c r="B772" t="s">
        <v>778</v>
      </c>
      <c r="C772" t="s">
        <v>135</v>
      </c>
    </row>
    <row r="773" spans="1:3" x14ac:dyDescent="0.2">
      <c r="A773" t="str">
        <f>"01305"</f>
        <v>01305</v>
      </c>
      <c r="B773" t="s">
        <v>1379</v>
      </c>
      <c r="C773" t="s">
        <v>233</v>
      </c>
    </row>
    <row r="774" spans="1:3" x14ac:dyDescent="0.2">
      <c r="A774" t="str">
        <f>"01308"</f>
        <v>01308</v>
      </c>
      <c r="B774" t="s">
        <v>531</v>
      </c>
      <c r="C774" t="s">
        <v>220</v>
      </c>
    </row>
    <row r="775" spans="1:3" x14ac:dyDescent="0.2">
      <c r="A775" t="str">
        <f>"01310"</f>
        <v>01310</v>
      </c>
      <c r="B775" t="s">
        <v>532</v>
      </c>
      <c r="C775" t="s">
        <v>215</v>
      </c>
    </row>
    <row r="776" spans="1:3" x14ac:dyDescent="0.2">
      <c r="A776" t="str">
        <f>"01313"</f>
        <v>01313</v>
      </c>
      <c r="B776" t="s">
        <v>779</v>
      </c>
      <c r="C776" t="s">
        <v>162</v>
      </c>
    </row>
    <row r="777" spans="1:3" x14ac:dyDescent="0.2">
      <c r="A777" t="str">
        <f>"01314"</f>
        <v>01314</v>
      </c>
      <c r="B777" t="s">
        <v>1380</v>
      </c>
      <c r="C777" t="s">
        <v>101</v>
      </c>
    </row>
    <row r="778" spans="1:3" x14ac:dyDescent="0.2">
      <c r="A778" t="str">
        <f>"01316"</f>
        <v>01316</v>
      </c>
      <c r="B778" t="s">
        <v>533</v>
      </c>
      <c r="C778" t="s">
        <v>127</v>
      </c>
    </row>
    <row r="779" spans="1:3" x14ac:dyDescent="0.2">
      <c r="A779" t="str">
        <f>"01317"</f>
        <v>01317</v>
      </c>
      <c r="B779" t="s">
        <v>1381</v>
      </c>
      <c r="C779" t="s">
        <v>89</v>
      </c>
    </row>
    <row r="780" spans="1:3" x14ac:dyDescent="0.2">
      <c r="A780" t="str">
        <f>"01318"</f>
        <v>01318</v>
      </c>
      <c r="B780" t="s">
        <v>534</v>
      </c>
      <c r="C780" t="s">
        <v>911</v>
      </c>
    </row>
    <row r="781" spans="1:3" x14ac:dyDescent="0.2">
      <c r="A781" t="str">
        <f>"01319"</f>
        <v>01319</v>
      </c>
      <c r="B781" t="s">
        <v>1382</v>
      </c>
      <c r="C781" t="s">
        <v>171</v>
      </c>
    </row>
    <row r="782" spans="1:3" x14ac:dyDescent="0.2">
      <c r="A782" t="str">
        <f>"01321"</f>
        <v>01321</v>
      </c>
      <c r="B782" t="s">
        <v>1383</v>
      </c>
      <c r="C782" t="s">
        <v>163</v>
      </c>
    </row>
    <row r="783" spans="1:3" x14ac:dyDescent="0.2">
      <c r="A783" t="str">
        <f>"01323"</f>
        <v>01323</v>
      </c>
      <c r="B783" t="s">
        <v>1384</v>
      </c>
      <c r="C783" t="s">
        <v>162</v>
      </c>
    </row>
    <row r="784" spans="1:3" x14ac:dyDescent="0.2">
      <c r="A784" t="str">
        <f>"01327"</f>
        <v>01327</v>
      </c>
      <c r="B784" t="s">
        <v>1385</v>
      </c>
      <c r="C784" t="s">
        <v>112</v>
      </c>
    </row>
    <row r="785" spans="1:3" x14ac:dyDescent="0.2">
      <c r="A785" t="str">
        <f>"01328"</f>
        <v>01328</v>
      </c>
      <c r="B785" t="s">
        <v>1386</v>
      </c>
      <c r="C785" t="s">
        <v>89</v>
      </c>
    </row>
    <row r="786" spans="1:3" x14ac:dyDescent="0.2">
      <c r="A786" t="str">
        <f>"01330"</f>
        <v>01330</v>
      </c>
      <c r="B786" t="s">
        <v>535</v>
      </c>
      <c r="C786" t="s">
        <v>233</v>
      </c>
    </row>
    <row r="787" spans="1:3" x14ac:dyDescent="0.2">
      <c r="A787" t="str">
        <f>"01332"</f>
        <v>01332</v>
      </c>
      <c r="B787" t="s">
        <v>1387</v>
      </c>
      <c r="C787" t="s">
        <v>217</v>
      </c>
    </row>
    <row r="788" spans="1:3" x14ac:dyDescent="0.2">
      <c r="A788" t="str">
        <f>"01333"</f>
        <v>01333</v>
      </c>
      <c r="B788" t="s">
        <v>536</v>
      </c>
      <c r="C788" t="s">
        <v>233</v>
      </c>
    </row>
    <row r="789" spans="1:3" x14ac:dyDescent="0.2">
      <c r="A789" t="str">
        <f>"01334"</f>
        <v>01334</v>
      </c>
      <c r="B789" t="s">
        <v>1388</v>
      </c>
      <c r="C789" t="s">
        <v>277</v>
      </c>
    </row>
    <row r="790" spans="1:3" x14ac:dyDescent="0.2">
      <c r="A790" t="str">
        <f>"01336"</f>
        <v>01336</v>
      </c>
      <c r="B790" t="s">
        <v>537</v>
      </c>
      <c r="C790" t="s">
        <v>188</v>
      </c>
    </row>
    <row r="791" spans="1:3" x14ac:dyDescent="0.2">
      <c r="A791" t="str">
        <f>"01339"</f>
        <v>01339</v>
      </c>
      <c r="B791" t="s">
        <v>538</v>
      </c>
      <c r="C791" t="s">
        <v>188</v>
      </c>
    </row>
    <row r="792" spans="1:3" x14ac:dyDescent="0.2">
      <c r="A792" t="str">
        <f>"01343"</f>
        <v>01343</v>
      </c>
      <c r="B792" t="s">
        <v>1389</v>
      </c>
      <c r="C792" t="s">
        <v>162</v>
      </c>
    </row>
    <row r="793" spans="1:3" x14ac:dyDescent="0.2">
      <c r="A793" t="str">
        <f>"01345"</f>
        <v>01345</v>
      </c>
      <c r="B793" t="s">
        <v>1390</v>
      </c>
      <c r="C793" t="s">
        <v>25</v>
      </c>
    </row>
    <row r="794" spans="1:3" x14ac:dyDescent="0.2">
      <c r="A794" t="str">
        <f>"01346"</f>
        <v>01346</v>
      </c>
      <c r="B794" t="s">
        <v>1391</v>
      </c>
      <c r="C794" t="s">
        <v>112</v>
      </c>
    </row>
    <row r="795" spans="1:3" x14ac:dyDescent="0.2">
      <c r="A795" t="str">
        <f>"01347"</f>
        <v>01347</v>
      </c>
      <c r="B795" t="s">
        <v>1392</v>
      </c>
      <c r="C795" t="s">
        <v>135</v>
      </c>
    </row>
    <row r="796" spans="1:3" x14ac:dyDescent="0.2">
      <c r="A796" t="str">
        <f>"01348"</f>
        <v>01348</v>
      </c>
      <c r="B796" t="s">
        <v>1393</v>
      </c>
      <c r="C796" t="s">
        <v>120</v>
      </c>
    </row>
    <row r="797" spans="1:3" x14ac:dyDescent="0.2">
      <c r="A797" t="str">
        <f>"01349"</f>
        <v>01349</v>
      </c>
      <c r="B797" t="s">
        <v>539</v>
      </c>
      <c r="C797" t="s">
        <v>25</v>
      </c>
    </row>
    <row r="798" spans="1:3" x14ac:dyDescent="0.2">
      <c r="A798" t="str">
        <f>"01351"</f>
        <v>01351</v>
      </c>
      <c r="B798" t="s">
        <v>1394</v>
      </c>
      <c r="C798" t="s">
        <v>97</v>
      </c>
    </row>
    <row r="799" spans="1:3" x14ac:dyDescent="0.2">
      <c r="A799" t="str">
        <f>"01355"</f>
        <v>01355</v>
      </c>
      <c r="B799" t="s">
        <v>1395</v>
      </c>
      <c r="C799" t="s">
        <v>101</v>
      </c>
    </row>
    <row r="800" spans="1:3" x14ac:dyDescent="0.2">
      <c r="A800" t="str">
        <f>"01357"</f>
        <v>01357</v>
      </c>
      <c r="B800" t="s">
        <v>540</v>
      </c>
      <c r="C800" t="s">
        <v>97</v>
      </c>
    </row>
    <row r="801" spans="1:3" x14ac:dyDescent="0.2">
      <c r="A801" t="str">
        <f>"01358"</f>
        <v>01358</v>
      </c>
      <c r="B801" t="s">
        <v>1396</v>
      </c>
      <c r="C801" t="s">
        <v>911</v>
      </c>
    </row>
    <row r="802" spans="1:3" x14ac:dyDescent="0.2">
      <c r="A802" t="str">
        <f>"01359"</f>
        <v>01359</v>
      </c>
      <c r="B802" t="s">
        <v>541</v>
      </c>
      <c r="C802" t="s">
        <v>171</v>
      </c>
    </row>
    <row r="803" spans="1:3" x14ac:dyDescent="0.2">
      <c r="A803" t="str">
        <f>"01361"</f>
        <v>01361</v>
      </c>
      <c r="B803" t="s">
        <v>542</v>
      </c>
      <c r="C803" t="s">
        <v>112</v>
      </c>
    </row>
    <row r="804" spans="1:3" x14ac:dyDescent="0.2">
      <c r="A804" t="str">
        <f>"01362"</f>
        <v>01362</v>
      </c>
      <c r="B804" t="s">
        <v>1397</v>
      </c>
      <c r="C804" t="s">
        <v>154</v>
      </c>
    </row>
    <row r="805" spans="1:3" x14ac:dyDescent="0.2">
      <c r="A805" t="str">
        <f>"01364"</f>
        <v>01364</v>
      </c>
      <c r="B805" t="s">
        <v>543</v>
      </c>
      <c r="C805" t="s">
        <v>68</v>
      </c>
    </row>
    <row r="806" spans="1:3" x14ac:dyDescent="0.2">
      <c r="A806" t="str">
        <f>"01368"</f>
        <v>01368</v>
      </c>
      <c r="B806" t="s">
        <v>544</v>
      </c>
      <c r="C806" t="s">
        <v>112</v>
      </c>
    </row>
    <row r="807" spans="1:3" x14ac:dyDescent="0.2">
      <c r="A807" t="str">
        <f>"01370"</f>
        <v>01370</v>
      </c>
      <c r="B807" t="s">
        <v>1398</v>
      </c>
      <c r="C807" t="s">
        <v>264</v>
      </c>
    </row>
    <row r="808" spans="1:3" x14ac:dyDescent="0.2">
      <c r="A808" t="str">
        <f>"01372"</f>
        <v>01372</v>
      </c>
      <c r="B808" t="s">
        <v>780</v>
      </c>
      <c r="C808" t="s">
        <v>162</v>
      </c>
    </row>
    <row r="809" spans="1:3" x14ac:dyDescent="0.2">
      <c r="A809" t="str">
        <f>"01373"</f>
        <v>01373</v>
      </c>
      <c r="B809" t="s">
        <v>1399</v>
      </c>
      <c r="C809" t="s">
        <v>81</v>
      </c>
    </row>
    <row r="810" spans="1:3" x14ac:dyDescent="0.2">
      <c r="A810" t="str">
        <f>"01375"</f>
        <v>01375</v>
      </c>
      <c r="B810" t="s">
        <v>545</v>
      </c>
      <c r="C810" t="s">
        <v>171</v>
      </c>
    </row>
    <row r="811" spans="1:3" x14ac:dyDescent="0.2">
      <c r="A811" t="str">
        <f>"01378"</f>
        <v>01378</v>
      </c>
      <c r="B811" t="s">
        <v>546</v>
      </c>
      <c r="C811" t="s">
        <v>264</v>
      </c>
    </row>
    <row r="812" spans="1:3" x14ac:dyDescent="0.2">
      <c r="A812" t="str">
        <f>"01380"</f>
        <v>01380</v>
      </c>
      <c r="B812" t="s">
        <v>1400</v>
      </c>
      <c r="C812" t="s">
        <v>264</v>
      </c>
    </row>
    <row r="813" spans="1:3" x14ac:dyDescent="0.2">
      <c r="A813" t="str">
        <f>"01382"</f>
        <v>01382</v>
      </c>
      <c r="B813" t="s">
        <v>547</v>
      </c>
      <c r="C813" t="s">
        <v>112</v>
      </c>
    </row>
    <row r="814" spans="1:3" x14ac:dyDescent="0.2">
      <c r="A814" t="str">
        <f>"01384"</f>
        <v>01384</v>
      </c>
      <c r="B814" t="s">
        <v>781</v>
      </c>
      <c r="C814" t="s">
        <v>137</v>
      </c>
    </row>
    <row r="815" spans="1:3" x14ac:dyDescent="0.2">
      <c r="A815" t="str">
        <f>"01385"</f>
        <v>01385</v>
      </c>
      <c r="B815" t="s">
        <v>548</v>
      </c>
      <c r="C815" t="s">
        <v>135</v>
      </c>
    </row>
    <row r="816" spans="1:3" x14ac:dyDescent="0.2">
      <c r="A816" t="str">
        <f>"01388"</f>
        <v>01388</v>
      </c>
      <c r="B816" t="s">
        <v>1401</v>
      </c>
      <c r="C816" t="s">
        <v>112</v>
      </c>
    </row>
    <row r="817" spans="1:3" x14ac:dyDescent="0.2">
      <c r="A817" t="str">
        <f>"01389"</f>
        <v>01389</v>
      </c>
      <c r="B817" t="s">
        <v>1402</v>
      </c>
      <c r="C817" t="s">
        <v>68</v>
      </c>
    </row>
    <row r="818" spans="1:3" x14ac:dyDescent="0.2">
      <c r="A818" t="str">
        <f>"01395"</f>
        <v>01395</v>
      </c>
      <c r="B818" t="s">
        <v>1403</v>
      </c>
      <c r="C818" t="s">
        <v>208</v>
      </c>
    </row>
    <row r="819" spans="1:3" x14ac:dyDescent="0.2">
      <c r="A819" t="str">
        <f>"01396"</f>
        <v>01396</v>
      </c>
      <c r="B819" t="s">
        <v>1404</v>
      </c>
      <c r="C819" t="s">
        <v>163</v>
      </c>
    </row>
    <row r="820" spans="1:3" x14ac:dyDescent="0.2">
      <c r="A820" t="str">
        <f>"01397"</f>
        <v>01397</v>
      </c>
      <c r="B820" t="s">
        <v>1405</v>
      </c>
      <c r="C820" t="s">
        <v>89</v>
      </c>
    </row>
    <row r="821" spans="1:3" x14ac:dyDescent="0.2">
      <c r="A821" t="str">
        <f>"01398"</f>
        <v>01398</v>
      </c>
      <c r="B821" t="s">
        <v>549</v>
      </c>
      <c r="C821" t="s">
        <v>196</v>
      </c>
    </row>
    <row r="822" spans="1:3" x14ac:dyDescent="0.2">
      <c r="A822" t="str">
        <f>"01399"</f>
        <v>01399</v>
      </c>
      <c r="B822" t="s">
        <v>1406</v>
      </c>
      <c r="C822" t="s">
        <v>233</v>
      </c>
    </row>
    <row r="823" spans="1:3" x14ac:dyDescent="0.2">
      <c r="A823" t="str">
        <f>"01401"</f>
        <v>01401</v>
      </c>
      <c r="B823" t="s">
        <v>782</v>
      </c>
      <c r="C823" t="s">
        <v>233</v>
      </c>
    </row>
    <row r="824" spans="1:3" x14ac:dyDescent="0.2">
      <c r="A824" t="str">
        <f>"01402"</f>
        <v>01402</v>
      </c>
      <c r="B824" t="s">
        <v>1407</v>
      </c>
      <c r="C824" t="s">
        <v>137</v>
      </c>
    </row>
    <row r="825" spans="1:3" x14ac:dyDescent="0.2">
      <c r="A825" t="str">
        <f>"01405"</f>
        <v>01405</v>
      </c>
      <c r="B825" t="s">
        <v>550</v>
      </c>
      <c r="C825" t="s">
        <v>101</v>
      </c>
    </row>
    <row r="826" spans="1:3" x14ac:dyDescent="0.2">
      <c r="A826" t="str">
        <f>"01406"</f>
        <v>01406</v>
      </c>
      <c r="B826" t="s">
        <v>1408</v>
      </c>
      <c r="C826" t="s">
        <v>911</v>
      </c>
    </row>
    <row r="827" spans="1:3" x14ac:dyDescent="0.2">
      <c r="A827" t="str">
        <f>"01407"</f>
        <v>01407</v>
      </c>
      <c r="B827" t="s">
        <v>1409</v>
      </c>
      <c r="C827" t="s">
        <v>277</v>
      </c>
    </row>
    <row r="828" spans="1:3" x14ac:dyDescent="0.2">
      <c r="A828" t="str">
        <f>"01408"</f>
        <v>01408</v>
      </c>
      <c r="B828" t="s">
        <v>1410</v>
      </c>
      <c r="C828" t="s">
        <v>162</v>
      </c>
    </row>
    <row r="829" spans="1:3" x14ac:dyDescent="0.2">
      <c r="A829" t="str">
        <f>"01410"</f>
        <v>01410</v>
      </c>
      <c r="B829" t="s">
        <v>783</v>
      </c>
      <c r="C829" t="s">
        <v>137</v>
      </c>
    </row>
    <row r="830" spans="1:3" x14ac:dyDescent="0.2">
      <c r="A830" t="str">
        <f>"01412"</f>
        <v>01412</v>
      </c>
      <c r="B830" t="s">
        <v>1411</v>
      </c>
      <c r="C830" t="s">
        <v>217</v>
      </c>
    </row>
    <row r="831" spans="1:3" x14ac:dyDescent="0.2">
      <c r="A831" t="str">
        <f>"01413"</f>
        <v>01413</v>
      </c>
      <c r="B831" t="s">
        <v>1412</v>
      </c>
      <c r="C831" t="s">
        <v>162</v>
      </c>
    </row>
    <row r="832" spans="1:3" x14ac:dyDescent="0.2">
      <c r="A832" t="str">
        <f>"01415"</f>
        <v>01415</v>
      </c>
      <c r="B832" t="s">
        <v>551</v>
      </c>
      <c r="C832" t="s">
        <v>233</v>
      </c>
    </row>
    <row r="833" spans="1:3" x14ac:dyDescent="0.2">
      <c r="A833" t="str">
        <f>"01416"</f>
        <v>01416</v>
      </c>
      <c r="B833" t="s">
        <v>1413</v>
      </c>
      <c r="C833" t="s">
        <v>162</v>
      </c>
    </row>
    <row r="834" spans="1:3" x14ac:dyDescent="0.2">
      <c r="A834" t="str">
        <f>"01417"</f>
        <v>01417</v>
      </c>
      <c r="B834" t="s">
        <v>1414</v>
      </c>
      <c r="C834" t="s">
        <v>163</v>
      </c>
    </row>
    <row r="835" spans="1:3" x14ac:dyDescent="0.2">
      <c r="A835" t="str">
        <f>"01418"</f>
        <v>01418</v>
      </c>
      <c r="B835" t="s">
        <v>1415</v>
      </c>
      <c r="C835" t="s">
        <v>120</v>
      </c>
    </row>
    <row r="836" spans="1:3" x14ac:dyDescent="0.2">
      <c r="A836" t="str">
        <f>"01419"</f>
        <v>01419</v>
      </c>
      <c r="B836" t="s">
        <v>1416</v>
      </c>
      <c r="C836" t="s">
        <v>911</v>
      </c>
    </row>
    <row r="837" spans="1:3" x14ac:dyDescent="0.2">
      <c r="A837" t="str">
        <f>"01420"</f>
        <v>01420</v>
      </c>
      <c r="B837" t="s">
        <v>1417</v>
      </c>
      <c r="C837" t="s">
        <v>162</v>
      </c>
    </row>
    <row r="838" spans="1:3" x14ac:dyDescent="0.2">
      <c r="A838" t="str">
        <f>"01425"</f>
        <v>01425</v>
      </c>
      <c r="B838" t="s">
        <v>552</v>
      </c>
      <c r="C838" t="s">
        <v>112</v>
      </c>
    </row>
    <row r="839" spans="1:3" x14ac:dyDescent="0.2">
      <c r="A839" t="str">
        <f>"01427"</f>
        <v>01427</v>
      </c>
      <c r="B839" t="s">
        <v>1418</v>
      </c>
      <c r="C839" t="s">
        <v>162</v>
      </c>
    </row>
    <row r="840" spans="1:3" x14ac:dyDescent="0.2">
      <c r="A840" t="str">
        <f>"01428"</f>
        <v>01428</v>
      </c>
      <c r="B840" t="s">
        <v>553</v>
      </c>
      <c r="C840" t="s">
        <v>171</v>
      </c>
    </row>
    <row r="841" spans="1:3" x14ac:dyDescent="0.2">
      <c r="A841" t="str">
        <f>"01429"</f>
        <v>01429</v>
      </c>
      <c r="B841" t="s">
        <v>1419</v>
      </c>
      <c r="C841" t="s">
        <v>162</v>
      </c>
    </row>
    <row r="842" spans="1:3" x14ac:dyDescent="0.2">
      <c r="A842" t="str">
        <f>"01431"</f>
        <v>01431</v>
      </c>
      <c r="B842" t="s">
        <v>1420</v>
      </c>
      <c r="C842" t="s">
        <v>68</v>
      </c>
    </row>
    <row r="843" spans="1:3" x14ac:dyDescent="0.2">
      <c r="A843" t="str">
        <f>"01432"</f>
        <v>01432</v>
      </c>
      <c r="B843" t="s">
        <v>1421</v>
      </c>
      <c r="C843" t="s">
        <v>68</v>
      </c>
    </row>
    <row r="844" spans="1:3" x14ac:dyDescent="0.2">
      <c r="A844" t="str">
        <f>"01440"</f>
        <v>01440</v>
      </c>
      <c r="B844" t="s">
        <v>554</v>
      </c>
      <c r="C844" t="s">
        <v>112</v>
      </c>
    </row>
    <row r="845" spans="1:3" x14ac:dyDescent="0.2">
      <c r="A845" t="str">
        <f>"01442"</f>
        <v>01442</v>
      </c>
      <c r="B845" t="s">
        <v>1422</v>
      </c>
      <c r="C845" t="s">
        <v>220</v>
      </c>
    </row>
    <row r="846" spans="1:3" x14ac:dyDescent="0.2">
      <c r="A846" t="str">
        <f>"01446"</f>
        <v>01446</v>
      </c>
      <c r="B846" t="s">
        <v>1423</v>
      </c>
      <c r="C846" t="s">
        <v>68</v>
      </c>
    </row>
    <row r="847" spans="1:3" x14ac:dyDescent="0.2">
      <c r="A847" t="str">
        <f>"01447"</f>
        <v>01447</v>
      </c>
      <c r="B847" t="s">
        <v>1424</v>
      </c>
      <c r="C847" t="s">
        <v>162</v>
      </c>
    </row>
    <row r="848" spans="1:3" x14ac:dyDescent="0.2">
      <c r="A848" t="str">
        <f>"01448"</f>
        <v>01448</v>
      </c>
      <c r="B848" t="s">
        <v>555</v>
      </c>
      <c r="C848" t="s">
        <v>89</v>
      </c>
    </row>
    <row r="849" spans="1:3" x14ac:dyDescent="0.2">
      <c r="A849" t="str">
        <f>"01449"</f>
        <v>01449</v>
      </c>
      <c r="B849" t="s">
        <v>1425</v>
      </c>
      <c r="C849" t="s">
        <v>89</v>
      </c>
    </row>
    <row r="850" spans="1:3" x14ac:dyDescent="0.2">
      <c r="A850" t="str">
        <f>"01450"</f>
        <v>01450</v>
      </c>
      <c r="B850" t="s">
        <v>1426</v>
      </c>
      <c r="C850" t="s">
        <v>97</v>
      </c>
    </row>
    <row r="851" spans="1:3" x14ac:dyDescent="0.2">
      <c r="A851" t="str">
        <f>"01451"</f>
        <v>01451</v>
      </c>
      <c r="B851" t="s">
        <v>1427</v>
      </c>
      <c r="C851" t="s">
        <v>217</v>
      </c>
    </row>
    <row r="852" spans="1:3" x14ac:dyDescent="0.2">
      <c r="A852" t="str">
        <f>"01452"</f>
        <v>01452</v>
      </c>
      <c r="B852" t="s">
        <v>1428</v>
      </c>
      <c r="C852" t="s">
        <v>233</v>
      </c>
    </row>
    <row r="853" spans="1:3" x14ac:dyDescent="0.2">
      <c r="A853" t="str">
        <f>"01455"</f>
        <v>01455</v>
      </c>
      <c r="B853" t="s">
        <v>1429</v>
      </c>
      <c r="C853" t="s">
        <v>120</v>
      </c>
    </row>
    <row r="854" spans="1:3" x14ac:dyDescent="0.2">
      <c r="A854" t="str">
        <f>"01456"</f>
        <v>01456</v>
      </c>
      <c r="B854" t="s">
        <v>556</v>
      </c>
      <c r="C854" t="s">
        <v>171</v>
      </c>
    </row>
    <row r="855" spans="1:3" x14ac:dyDescent="0.2">
      <c r="A855" t="str">
        <f>"01458"</f>
        <v>01458</v>
      </c>
      <c r="B855" t="s">
        <v>557</v>
      </c>
      <c r="C855" t="s">
        <v>68</v>
      </c>
    </row>
    <row r="856" spans="1:3" x14ac:dyDescent="0.2">
      <c r="A856" t="str">
        <f>"01460"</f>
        <v>01460</v>
      </c>
      <c r="B856" t="s">
        <v>1430</v>
      </c>
      <c r="C856" t="s">
        <v>137</v>
      </c>
    </row>
    <row r="857" spans="1:3" x14ac:dyDescent="0.2">
      <c r="A857" t="str">
        <f>"01461"</f>
        <v>01461</v>
      </c>
      <c r="B857" t="s">
        <v>1431</v>
      </c>
      <c r="C857" t="s">
        <v>171</v>
      </c>
    </row>
    <row r="858" spans="1:3" x14ac:dyDescent="0.2">
      <c r="A858" t="str">
        <f>"01463"</f>
        <v>01463</v>
      </c>
      <c r="B858" t="s">
        <v>1432</v>
      </c>
      <c r="C858" t="s">
        <v>89</v>
      </c>
    </row>
    <row r="859" spans="1:3" x14ac:dyDescent="0.2">
      <c r="A859" t="str">
        <f>"01466"</f>
        <v>01466</v>
      </c>
      <c r="B859" t="s">
        <v>1433</v>
      </c>
      <c r="C859" t="s">
        <v>112</v>
      </c>
    </row>
    <row r="860" spans="1:3" x14ac:dyDescent="0.2">
      <c r="A860" t="str">
        <f>"01470"</f>
        <v>01470</v>
      </c>
      <c r="B860" t="s">
        <v>1434</v>
      </c>
      <c r="C860" t="s">
        <v>257</v>
      </c>
    </row>
    <row r="861" spans="1:3" x14ac:dyDescent="0.2">
      <c r="A861" t="str">
        <f>"01471"</f>
        <v>01471</v>
      </c>
      <c r="B861" t="s">
        <v>784</v>
      </c>
      <c r="C861" t="s">
        <v>188</v>
      </c>
    </row>
    <row r="862" spans="1:3" x14ac:dyDescent="0.2">
      <c r="A862" t="str">
        <f>"01473"</f>
        <v>01473</v>
      </c>
      <c r="B862" t="s">
        <v>1435</v>
      </c>
      <c r="C862" t="s">
        <v>154</v>
      </c>
    </row>
    <row r="863" spans="1:3" x14ac:dyDescent="0.2">
      <c r="A863" t="str">
        <f>"01475"</f>
        <v>01475</v>
      </c>
      <c r="B863" t="s">
        <v>558</v>
      </c>
      <c r="C863" t="s">
        <v>68</v>
      </c>
    </row>
    <row r="864" spans="1:3" x14ac:dyDescent="0.2">
      <c r="A864" t="str">
        <f>"01476"</f>
        <v>01476</v>
      </c>
      <c r="B864" t="s">
        <v>1436</v>
      </c>
      <c r="C864" t="s">
        <v>171</v>
      </c>
    </row>
    <row r="865" spans="1:3" x14ac:dyDescent="0.2">
      <c r="A865" t="str">
        <f>"01477"</f>
        <v>01477</v>
      </c>
      <c r="B865" t="s">
        <v>559</v>
      </c>
      <c r="C865" t="s">
        <v>25</v>
      </c>
    </row>
    <row r="866" spans="1:3" x14ac:dyDescent="0.2">
      <c r="A866" t="str">
        <f>"01478"</f>
        <v>01478</v>
      </c>
      <c r="B866" t="s">
        <v>560</v>
      </c>
      <c r="C866" t="s">
        <v>233</v>
      </c>
    </row>
    <row r="867" spans="1:3" x14ac:dyDescent="0.2">
      <c r="A867" t="str">
        <f>"01480"</f>
        <v>01480</v>
      </c>
      <c r="B867" t="s">
        <v>1437</v>
      </c>
      <c r="C867" t="s">
        <v>233</v>
      </c>
    </row>
    <row r="868" spans="1:3" x14ac:dyDescent="0.2">
      <c r="A868" t="str">
        <f>"01481"</f>
        <v>01481</v>
      </c>
      <c r="B868" t="s">
        <v>1438</v>
      </c>
      <c r="C868" t="s">
        <v>257</v>
      </c>
    </row>
    <row r="869" spans="1:3" x14ac:dyDescent="0.2">
      <c r="A869" t="str">
        <f>"01483"</f>
        <v>01483</v>
      </c>
      <c r="B869" t="s">
        <v>1439</v>
      </c>
      <c r="C869" t="s">
        <v>89</v>
      </c>
    </row>
    <row r="870" spans="1:3" x14ac:dyDescent="0.2">
      <c r="A870" t="str">
        <f>"01486"</f>
        <v>01486</v>
      </c>
      <c r="B870" t="s">
        <v>1440</v>
      </c>
      <c r="C870" t="s">
        <v>162</v>
      </c>
    </row>
    <row r="871" spans="1:3" x14ac:dyDescent="0.2">
      <c r="A871" t="str">
        <f>"01488"</f>
        <v>01488</v>
      </c>
      <c r="B871" t="s">
        <v>1441</v>
      </c>
      <c r="C871" t="s">
        <v>101</v>
      </c>
    </row>
    <row r="872" spans="1:3" x14ac:dyDescent="0.2">
      <c r="A872" t="str">
        <f>"01489"</f>
        <v>01489</v>
      </c>
      <c r="B872" t="s">
        <v>1442</v>
      </c>
      <c r="C872" t="s">
        <v>162</v>
      </c>
    </row>
    <row r="873" spans="1:3" x14ac:dyDescent="0.2">
      <c r="A873" t="str">
        <f>"01490"</f>
        <v>01490</v>
      </c>
      <c r="B873" t="s">
        <v>1443</v>
      </c>
      <c r="C873" t="s">
        <v>97</v>
      </c>
    </row>
    <row r="874" spans="1:3" x14ac:dyDescent="0.2">
      <c r="A874" t="str">
        <f>"01496"</f>
        <v>01496</v>
      </c>
      <c r="B874" t="s">
        <v>1444</v>
      </c>
      <c r="C874" t="s">
        <v>162</v>
      </c>
    </row>
    <row r="875" spans="1:3" x14ac:dyDescent="0.2">
      <c r="A875" t="str">
        <f>"01497"</f>
        <v>01497</v>
      </c>
      <c r="B875" t="s">
        <v>561</v>
      </c>
      <c r="C875" t="s">
        <v>68</v>
      </c>
    </row>
    <row r="876" spans="1:3" x14ac:dyDescent="0.2">
      <c r="A876" t="str">
        <f>"01498"</f>
        <v>01498</v>
      </c>
      <c r="B876" t="s">
        <v>1445</v>
      </c>
      <c r="C876" t="s">
        <v>25</v>
      </c>
    </row>
    <row r="877" spans="1:3" x14ac:dyDescent="0.2">
      <c r="A877" t="str">
        <f>"01499"</f>
        <v>01499</v>
      </c>
      <c r="B877" t="s">
        <v>1446</v>
      </c>
      <c r="C877" t="s">
        <v>162</v>
      </c>
    </row>
    <row r="878" spans="1:3" x14ac:dyDescent="0.2">
      <c r="A878" t="str">
        <f>"01500"</f>
        <v>01500</v>
      </c>
      <c r="B878" t="s">
        <v>1447</v>
      </c>
      <c r="C878" t="s">
        <v>162</v>
      </c>
    </row>
    <row r="879" spans="1:3" x14ac:dyDescent="0.2">
      <c r="A879" t="str">
        <f>"01501"</f>
        <v>01501</v>
      </c>
      <c r="B879" t="s">
        <v>1448</v>
      </c>
      <c r="C879" t="s">
        <v>911</v>
      </c>
    </row>
    <row r="880" spans="1:3" x14ac:dyDescent="0.2">
      <c r="A880" t="str">
        <f>"01502"</f>
        <v>01502</v>
      </c>
      <c r="B880" t="s">
        <v>1449</v>
      </c>
      <c r="C880" t="s">
        <v>163</v>
      </c>
    </row>
    <row r="881" spans="1:3" x14ac:dyDescent="0.2">
      <c r="A881" t="str">
        <f>"01508"</f>
        <v>01508</v>
      </c>
      <c r="B881" t="s">
        <v>562</v>
      </c>
      <c r="C881" t="s">
        <v>188</v>
      </c>
    </row>
    <row r="882" spans="1:3" x14ac:dyDescent="0.2">
      <c r="A882" t="str">
        <f>"01511"</f>
        <v>01511</v>
      </c>
      <c r="B882" t="s">
        <v>1450</v>
      </c>
      <c r="C882" t="s">
        <v>137</v>
      </c>
    </row>
    <row r="883" spans="1:3" x14ac:dyDescent="0.2">
      <c r="A883" t="str">
        <f>"01513"</f>
        <v>01513</v>
      </c>
      <c r="B883" t="s">
        <v>563</v>
      </c>
      <c r="C883" t="s">
        <v>25</v>
      </c>
    </row>
    <row r="884" spans="1:3" x14ac:dyDescent="0.2">
      <c r="A884" t="str">
        <f>"01515"</f>
        <v>01515</v>
      </c>
      <c r="B884" t="s">
        <v>564</v>
      </c>
      <c r="C884" t="s">
        <v>911</v>
      </c>
    </row>
    <row r="885" spans="1:3" x14ac:dyDescent="0.2">
      <c r="A885" t="str">
        <f>"01516"</f>
        <v>01516</v>
      </c>
      <c r="B885" t="s">
        <v>785</v>
      </c>
      <c r="C885" t="s">
        <v>163</v>
      </c>
    </row>
    <row r="886" spans="1:3" x14ac:dyDescent="0.2">
      <c r="A886" t="str">
        <f>"01518"</f>
        <v>01518</v>
      </c>
      <c r="B886" t="s">
        <v>1451</v>
      </c>
      <c r="C886" t="s">
        <v>911</v>
      </c>
    </row>
    <row r="887" spans="1:3" x14ac:dyDescent="0.2">
      <c r="A887" t="str">
        <f>"01519"</f>
        <v>01519</v>
      </c>
      <c r="B887" t="s">
        <v>565</v>
      </c>
      <c r="C887" t="s">
        <v>220</v>
      </c>
    </row>
    <row r="888" spans="1:3" x14ac:dyDescent="0.2">
      <c r="A888" t="str">
        <f>"01520"</f>
        <v>01520</v>
      </c>
      <c r="B888" t="s">
        <v>786</v>
      </c>
      <c r="C888" t="s">
        <v>112</v>
      </c>
    </row>
    <row r="889" spans="1:3" x14ac:dyDescent="0.2">
      <c r="A889" t="str">
        <f>"01521"</f>
        <v>01521</v>
      </c>
      <c r="B889" t="s">
        <v>1452</v>
      </c>
      <c r="C889" t="s">
        <v>25</v>
      </c>
    </row>
    <row r="890" spans="1:3" x14ac:dyDescent="0.2">
      <c r="A890" t="str">
        <f>"01522"</f>
        <v>01522</v>
      </c>
      <c r="B890" t="s">
        <v>1453</v>
      </c>
      <c r="C890" t="s">
        <v>233</v>
      </c>
    </row>
    <row r="891" spans="1:3" x14ac:dyDescent="0.2">
      <c r="A891" t="str">
        <f>"01523"</f>
        <v>01523</v>
      </c>
      <c r="B891" t="s">
        <v>566</v>
      </c>
      <c r="C891" t="s">
        <v>154</v>
      </c>
    </row>
    <row r="892" spans="1:3" x14ac:dyDescent="0.2">
      <c r="A892" t="str">
        <f>"01525"</f>
        <v>01525</v>
      </c>
      <c r="B892" t="s">
        <v>567</v>
      </c>
      <c r="C892" t="s">
        <v>89</v>
      </c>
    </row>
    <row r="893" spans="1:3" x14ac:dyDescent="0.2">
      <c r="A893" t="str">
        <f>"01526"</f>
        <v>01526</v>
      </c>
      <c r="B893" t="s">
        <v>1454</v>
      </c>
      <c r="C893" t="s">
        <v>911</v>
      </c>
    </row>
    <row r="894" spans="1:3" x14ac:dyDescent="0.2">
      <c r="A894" t="str">
        <f>"01528"</f>
        <v>01528</v>
      </c>
      <c r="B894" t="s">
        <v>787</v>
      </c>
      <c r="C894" t="s">
        <v>163</v>
      </c>
    </row>
    <row r="895" spans="1:3" x14ac:dyDescent="0.2">
      <c r="A895" t="str">
        <f>"01529"</f>
        <v>01529</v>
      </c>
      <c r="B895" t="s">
        <v>1455</v>
      </c>
      <c r="C895" t="s">
        <v>220</v>
      </c>
    </row>
    <row r="896" spans="1:3" x14ac:dyDescent="0.2">
      <c r="A896" t="str">
        <f>"01530"</f>
        <v>01530</v>
      </c>
      <c r="B896" t="s">
        <v>568</v>
      </c>
      <c r="C896" t="s">
        <v>25</v>
      </c>
    </row>
    <row r="897" spans="1:3" x14ac:dyDescent="0.2">
      <c r="A897" t="str">
        <f>"01532"</f>
        <v>01532</v>
      </c>
      <c r="B897" t="s">
        <v>1456</v>
      </c>
      <c r="C897" t="s">
        <v>112</v>
      </c>
    </row>
    <row r="898" spans="1:3" x14ac:dyDescent="0.2">
      <c r="A898" t="str">
        <f>"01536"</f>
        <v>01536</v>
      </c>
      <c r="B898" t="s">
        <v>1457</v>
      </c>
      <c r="C898" t="s">
        <v>233</v>
      </c>
    </row>
    <row r="899" spans="1:3" x14ac:dyDescent="0.2">
      <c r="A899" t="str">
        <f>"01538"</f>
        <v>01538</v>
      </c>
      <c r="B899" t="s">
        <v>1458</v>
      </c>
      <c r="C899" t="s">
        <v>163</v>
      </c>
    </row>
    <row r="900" spans="1:3" x14ac:dyDescent="0.2">
      <c r="A900" t="str">
        <f>"01539"</f>
        <v>01539</v>
      </c>
      <c r="B900" t="s">
        <v>1459</v>
      </c>
      <c r="C900" t="s">
        <v>233</v>
      </c>
    </row>
    <row r="901" spans="1:3" x14ac:dyDescent="0.2">
      <c r="A901" t="str">
        <f>"01540"</f>
        <v>01540</v>
      </c>
      <c r="B901" t="s">
        <v>1460</v>
      </c>
      <c r="C901" t="s">
        <v>217</v>
      </c>
    </row>
    <row r="902" spans="1:3" x14ac:dyDescent="0.2">
      <c r="A902" t="str">
        <f>"01541"</f>
        <v>01541</v>
      </c>
      <c r="B902" t="s">
        <v>569</v>
      </c>
      <c r="C902" t="s">
        <v>25</v>
      </c>
    </row>
    <row r="903" spans="1:3" x14ac:dyDescent="0.2">
      <c r="A903" t="str">
        <f>"01543"</f>
        <v>01543</v>
      </c>
      <c r="B903" t="s">
        <v>1461</v>
      </c>
      <c r="C903" t="s">
        <v>171</v>
      </c>
    </row>
    <row r="904" spans="1:3" x14ac:dyDescent="0.2">
      <c r="A904" t="str">
        <f>"01545"</f>
        <v>01545</v>
      </c>
      <c r="B904" t="s">
        <v>1462</v>
      </c>
      <c r="C904" t="s">
        <v>81</v>
      </c>
    </row>
    <row r="905" spans="1:3" x14ac:dyDescent="0.2">
      <c r="A905" t="str">
        <f>"01546"</f>
        <v>01546</v>
      </c>
      <c r="B905" t="s">
        <v>1463</v>
      </c>
      <c r="C905" t="s">
        <v>162</v>
      </c>
    </row>
    <row r="906" spans="1:3" x14ac:dyDescent="0.2">
      <c r="A906" t="str">
        <f>"01547"</f>
        <v>01547</v>
      </c>
      <c r="B906" t="s">
        <v>1464</v>
      </c>
      <c r="C906" t="s">
        <v>162</v>
      </c>
    </row>
    <row r="907" spans="1:3" x14ac:dyDescent="0.2">
      <c r="A907" t="str">
        <f>"01548"</f>
        <v>01548</v>
      </c>
      <c r="B907" t="s">
        <v>570</v>
      </c>
      <c r="C907" t="s">
        <v>25</v>
      </c>
    </row>
    <row r="908" spans="1:3" x14ac:dyDescent="0.2">
      <c r="A908" t="str">
        <f>"01551"</f>
        <v>01551</v>
      </c>
      <c r="B908" t="s">
        <v>1465</v>
      </c>
      <c r="C908" t="s">
        <v>196</v>
      </c>
    </row>
    <row r="909" spans="1:3" x14ac:dyDescent="0.2">
      <c r="A909" t="str">
        <f>"01552"</f>
        <v>01552</v>
      </c>
      <c r="B909" t="s">
        <v>1466</v>
      </c>
      <c r="C909" t="s">
        <v>162</v>
      </c>
    </row>
    <row r="910" spans="1:3" x14ac:dyDescent="0.2">
      <c r="A910" t="str">
        <f>"01553"</f>
        <v>01553</v>
      </c>
      <c r="B910" t="s">
        <v>1467</v>
      </c>
      <c r="C910" t="s">
        <v>264</v>
      </c>
    </row>
    <row r="911" spans="1:3" x14ac:dyDescent="0.2">
      <c r="A911" t="str">
        <f>"01556"</f>
        <v>01556</v>
      </c>
      <c r="B911" t="s">
        <v>1468</v>
      </c>
      <c r="C911" t="s">
        <v>162</v>
      </c>
    </row>
    <row r="912" spans="1:3" x14ac:dyDescent="0.2">
      <c r="A912" t="str">
        <f>"01557"</f>
        <v>01557</v>
      </c>
      <c r="B912" t="s">
        <v>1469</v>
      </c>
      <c r="C912" t="s">
        <v>162</v>
      </c>
    </row>
    <row r="913" spans="1:3" x14ac:dyDescent="0.2">
      <c r="A913" t="str">
        <f>"01563"</f>
        <v>01563</v>
      </c>
      <c r="B913" t="s">
        <v>1470</v>
      </c>
      <c r="C913" t="s">
        <v>89</v>
      </c>
    </row>
    <row r="914" spans="1:3" x14ac:dyDescent="0.2">
      <c r="A914" t="str">
        <f>"01565"</f>
        <v>01565</v>
      </c>
      <c r="B914" t="s">
        <v>1471</v>
      </c>
      <c r="C914" t="s">
        <v>89</v>
      </c>
    </row>
    <row r="915" spans="1:3" x14ac:dyDescent="0.2">
      <c r="A915" t="str">
        <f>"01568"</f>
        <v>01568</v>
      </c>
      <c r="B915" t="s">
        <v>1472</v>
      </c>
      <c r="C915" t="s">
        <v>162</v>
      </c>
    </row>
    <row r="916" spans="1:3" x14ac:dyDescent="0.2">
      <c r="A916" t="str">
        <f>"01569"</f>
        <v>01569</v>
      </c>
      <c r="B916" t="s">
        <v>1473</v>
      </c>
      <c r="C916" t="s">
        <v>89</v>
      </c>
    </row>
    <row r="917" spans="1:3" x14ac:dyDescent="0.2">
      <c r="A917" t="str">
        <f>"01570"</f>
        <v>01570</v>
      </c>
      <c r="B917" t="s">
        <v>1474</v>
      </c>
      <c r="C917" t="s">
        <v>163</v>
      </c>
    </row>
    <row r="918" spans="1:3" x14ac:dyDescent="0.2">
      <c r="A918" t="str">
        <f>"01571"</f>
        <v>01571</v>
      </c>
      <c r="B918" t="s">
        <v>1475</v>
      </c>
      <c r="C918" t="s">
        <v>127</v>
      </c>
    </row>
    <row r="919" spans="1:3" x14ac:dyDescent="0.2">
      <c r="A919" t="str">
        <f>"01576"</f>
        <v>01576</v>
      </c>
      <c r="B919" t="s">
        <v>1476</v>
      </c>
      <c r="C919" t="s">
        <v>220</v>
      </c>
    </row>
    <row r="920" spans="1:3" x14ac:dyDescent="0.2">
      <c r="A920" t="str">
        <f>"01577"</f>
        <v>01577</v>
      </c>
      <c r="B920" t="s">
        <v>1477</v>
      </c>
      <c r="C920" t="s">
        <v>171</v>
      </c>
    </row>
    <row r="921" spans="1:3" x14ac:dyDescent="0.2">
      <c r="A921" t="str">
        <f>"01578"</f>
        <v>01578</v>
      </c>
      <c r="B921" t="s">
        <v>1478</v>
      </c>
      <c r="C921" t="s">
        <v>196</v>
      </c>
    </row>
    <row r="922" spans="1:3" x14ac:dyDescent="0.2">
      <c r="A922" t="str">
        <f>"01579"</f>
        <v>01579</v>
      </c>
      <c r="B922" t="s">
        <v>571</v>
      </c>
      <c r="C922" t="s">
        <v>68</v>
      </c>
    </row>
    <row r="923" spans="1:3" x14ac:dyDescent="0.2">
      <c r="A923" t="str">
        <f>"01580"</f>
        <v>01580</v>
      </c>
      <c r="B923" t="s">
        <v>1479</v>
      </c>
      <c r="C923" t="s">
        <v>257</v>
      </c>
    </row>
    <row r="924" spans="1:3" x14ac:dyDescent="0.2">
      <c r="A924" t="str">
        <f>"01581"</f>
        <v>01581</v>
      </c>
      <c r="B924" t="s">
        <v>1480</v>
      </c>
      <c r="C924" t="s">
        <v>162</v>
      </c>
    </row>
    <row r="925" spans="1:3" x14ac:dyDescent="0.2">
      <c r="A925" t="str">
        <f>"01582"</f>
        <v>01582</v>
      </c>
      <c r="B925" t="s">
        <v>1481</v>
      </c>
      <c r="C925" t="s">
        <v>162</v>
      </c>
    </row>
    <row r="926" spans="1:3" x14ac:dyDescent="0.2">
      <c r="A926" t="str">
        <f>"01583"</f>
        <v>01583</v>
      </c>
      <c r="B926" t="s">
        <v>1482</v>
      </c>
      <c r="C926" t="s">
        <v>68</v>
      </c>
    </row>
    <row r="927" spans="1:3" x14ac:dyDescent="0.2">
      <c r="A927" t="str">
        <f>"01585"</f>
        <v>01585</v>
      </c>
      <c r="B927" t="s">
        <v>572</v>
      </c>
      <c r="C927" t="s">
        <v>127</v>
      </c>
    </row>
    <row r="928" spans="1:3" x14ac:dyDescent="0.2">
      <c r="A928" t="str">
        <f>"01586"</f>
        <v>01586</v>
      </c>
      <c r="B928" t="s">
        <v>1483</v>
      </c>
      <c r="C928" t="s">
        <v>89</v>
      </c>
    </row>
    <row r="929" spans="1:3" x14ac:dyDescent="0.2">
      <c r="A929" t="str">
        <f>"01587"</f>
        <v>01587</v>
      </c>
      <c r="B929" t="s">
        <v>1484</v>
      </c>
      <c r="C929" t="s">
        <v>68</v>
      </c>
    </row>
    <row r="930" spans="1:3" x14ac:dyDescent="0.2">
      <c r="A930" t="str">
        <f>"01588"</f>
        <v>01588</v>
      </c>
      <c r="B930" t="s">
        <v>1485</v>
      </c>
      <c r="C930" t="s">
        <v>137</v>
      </c>
    </row>
    <row r="931" spans="1:3" x14ac:dyDescent="0.2">
      <c r="A931" t="str">
        <f>"01592"</f>
        <v>01592</v>
      </c>
      <c r="B931" t="s">
        <v>1486</v>
      </c>
      <c r="C931" t="s">
        <v>162</v>
      </c>
    </row>
    <row r="932" spans="1:3" x14ac:dyDescent="0.2">
      <c r="A932" t="str">
        <f>"01593"</f>
        <v>01593</v>
      </c>
      <c r="B932" t="s">
        <v>1487</v>
      </c>
      <c r="C932" t="s">
        <v>89</v>
      </c>
    </row>
    <row r="933" spans="1:3" x14ac:dyDescent="0.2">
      <c r="A933" t="str">
        <f>"01597"</f>
        <v>01597</v>
      </c>
      <c r="B933" t="s">
        <v>1488</v>
      </c>
      <c r="C933" t="s">
        <v>233</v>
      </c>
    </row>
    <row r="934" spans="1:3" x14ac:dyDescent="0.2">
      <c r="A934" t="str">
        <f>"01598"</f>
        <v>01598</v>
      </c>
      <c r="B934" t="s">
        <v>1489</v>
      </c>
      <c r="C934" t="s">
        <v>89</v>
      </c>
    </row>
    <row r="935" spans="1:3" x14ac:dyDescent="0.2">
      <c r="A935" t="str">
        <f>"01599"</f>
        <v>01599</v>
      </c>
      <c r="B935" t="s">
        <v>1490</v>
      </c>
      <c r="C935" t="s">
        <v>162</v>
      </c>
    </row>
    <row r="936" spans="1:3" x14ac:dyDescent="0.2">
      <c r="A936" t="str">
        <f>"01600"</f>
        <v>01600</v>
      </c>
      <c r="B936" t="s">
        <v>573</v>
      </c>
      <c r="C936" t="s">
        <v>208</v>
      </c>
    </row>
    <row r="937" spans="1:3" x14ac:dyDescent="0.2">
      <c r="A937" t="str">
        <f>"01601"</f>
        <v>01601</v>
      </c>
      <c r="B937" t="s">
        <v>1491</v>
      </c>
      <c r="C937" t="s">
        <v>171</v>
      </c>
    </row>
    <row r="938" spans="1:3" x14ac:dyDescent="0.2">
      <c r="A938" t="str">
        <f>"01606"</f>
        <v>01606</v>
      </c>
      <c r="B938" t="s">
        <v>574</v>
      </c>
      <c r="C938" t="s">
        <v>171</v>
      </c>
    </row>
    <row r="939" spans="1:3" x14ac:dyDescent="0.2">
      <c r="A939" t="str">
        <f>"01609"</f>
        <v>01609</v>
      </c>
      <c r="B939" t="s">
        <v>1492</v>
      </c>
      <c r="C939" t="s">
        <v>911</v>
      </c>
    </row>
    <row r="940" spans="1:3" x14ac:dyDescent="0.2">
      <c r="A940" t="str">
        <f>"01610"</f>
        <v>01610</v>
      </c>
      <c r="B940" t="s">
        <v>575</v>
      </c>
      <c r="C940" t="s">
        <v>66</v>
      </c>
    </row>
    <row r="941" spans="1:3" x14ac:dyDescent="0.2">
      <c r="A941" t="str">
        <f>"01611"</f>
        <v>01611</v>
      </c>
      <c r="B941" t="s">
        <v>1493</v>
      </c>
      <c r="C941" t="s">
        <v>171</v>
      </c>
    </row>
    <row r="942" spans="1:3" x14ac:dyDescent="0.2">
      <c r="A942" t="str">
        <f>"01612"</f>
        <v>01612</v>
      </c>
      <c r="B942" t="s">
        <v>1494</v>
      </c>
      <c r="C942" t="s">
        <v>911</v>
      </c>
    </row>
    <row r="943" spans="1:3" x14ac:dyDescent="0.2">
      <c r="A943" t="str">
        <f>"01613"</f>
        <v>01613</v>
      </c>
      <c r="B943" t="s">
        <v>1495</v>
      </c>
      <c r="C943" t="s">
        <v>137</v>
      </c>
    </row>
    <row r="944" spans="1:3" x14ac:dyDescent="0.2">
      <c r="A944" t="str">
        <f>"01615"</f>
        <v>01615</v>
      </c>
      <c r="B944" t="s">
        <v>1496</v>
      </c>
      <c r="C944" t="s">
        <v>162</v>
      </c>
    </row>
    <row r="945" spans="1:3" x14ac:dyDescent="0.2">
      <c r="A945" t="str">
        <f>"01617"</f>
        <v>01617</v>
      </c>
      <c r="B945" t="s">
        <v>1497</v>
      </c>
      <c r="C945" t="s">
        <v>154</v>
      </c>
    </row>
    <row r="946" spans="1:3" x14ac:dyDescent="0.2">
      <c r="A946" t="str">
        <f>"01618"</f>
        <v>01618</v>
      </c>
      <c r="B946" t="s">
        <v>576</v>
      </c>
      <c r="C946" t="s">
        <v>162</v>
      </c>
    </row>
    <row r="947" spans="1:3" x14ac:dyDescent="0.2">
      <c r="A947" t="str">
        <f>"01620"</f>
        <v>01620</v>
      </c>
      <c r="B947" t="s">
        <v>1498</v>
      </c>
      <c r="C947" t="s">
        <v>101</v>
      </c>
    </row>
    <row r="948" spans="1:3" x14ac:dyDescent="0.2">
      <c r="A948" t="str">
        <f>"01621"</f>
        <v>01621</v>
      </c>
      <c r="B948" t="s">
        <v>1499</v>
      </c>
      <c r="C948" t="s">
        <v>277</v>
      </c>
    </row>
    <row r="949" spans="1:3" x14ac:dyDescent="0.2">
      <c r="A949" t="str">
        <f>"01622"</f>
        <v>01622</v>
      </c>
      <c r="B949" t="s">
        <v>1500</v>
      </c>
      <c r="C949" t="s">
        <v>163</v>
      </c>
    </row>
    <row r="950" spans="1:3" x14ac:dyDescent="0.2">
      <c r="A950" t="str">
        <f>"01623"</f>
        <v>01623</v>
      </c>
      <c r="B950" t="s">
        <v>1501</v>
      </c>
      <c r="C950" t="s">
        <v>277</v>
      </c>
    </row>
    <row r="951" spans="1:3" x14ac:dyDescent="0.2">
      <c r="A951" t="str">
        <f>"01626"</f>
        <v>01626</v>
      </c>
      <c r="B951" t="s">
        <v>577</v>
      </c>
      <c r="C951" t="s">
        <v>217</v>
      </c>
    </row>
    <row r="952" spans="1:3" x14ac:dyDescent="0.2">
      <c r="A952" t="str">
        <f>"01627"</f>
        <v>01627</v>
      </c>
      <c r="B952" t="s">
        <v>1502</v>
      </c>
      <c r="C952" t="s">
        <v>162</v>
      </c>
    </row>
    <row r="953" spans="1:3" x14ac:dyDescent="0.2">
      <c r="A953" t="str">
        <f>"01628"</f>
        <v>01628</v>
      </c>
      <c r="B953" t="s">
        <v>1503</v>
      </c>
      <c r="C953" t="s">
        <v>163</v>
      </c>
    </row>
    <row r="954" spans="1:3" x14ac:dyDescent="0.2">
      <c r="A954" t="str">
        <f>"01630"</f>
        <v>01630</v>
      </c>
      <c r="B954" t="s">
        <v>1504</v>
      </c>
      <c r="C954" t="s">
        <v>162</v>
      </c>
    </row>
    <row r="955" spans="1:3" x14ac:dyDescent="0.2">
      <c r="A955" t="str">
        <f>"01631"</f>
        <v>01631</v>
      </c>
      <c r="B955" t="s">
        <v>1505</v>
      </c>
      <c r="C955" t="s">
        <v>217</v>
      </c>
    </row>
    <row r="956" spans="1:3" x14ac:dyDescent="0.2">
      <c r="A956" t="str">
        <f>"01633"</f>
        <v>01633</v>
      </c>
      <c r="B956" t="s">
        <v>1506</v>
      </c>
      <c r="C956" t="s">
        <v>162</v>
      </c>
    </row>
    <row r="957" spans="1:3" x14ac:dyDescent="0.2">
      <c r="A957" t="str">
        <f>"01635"</f>
        <v>01635</v>
      </c>
      <c r="B957" t="s">
        <v>578</v>
      </c>
      <c r="C957" t="s">
        <v>208</v>
      </c>
    </row>
    <row r="958" spans="1:3" x14ac:dyDescent="0.2">
      <c r="A958" t="str">
        <f>"01636"</f>
        <v>01636</v>
      </c>
      <c r="B958" t="s">
        <v>1507</v>
      </c>
      <c r="C958" t="s">
        <v>264</v>
      </c>
    </row>
    <row r="959" spans="1:3" x14ac:dyDescent="0.2">
      <c r="A959" t="str">
        <f>"01637"</f>
        <v>01637</v>
      </c>
      <c r="B959" t="s">
        <v>1508</v>
      </c>
      <c r="C959" t="s">
        <v>162</v>
      </c>
    </row>
    <row r="960" spans="1:3" x14ac:dyDescent="0.2">
      <c r="A960" t="str">
        <f>"01640"</f>
        <v>01640</v>
      </c>
      <c r="B960" t="s">
        <v>1509</v>
      </c>
      <c r="C960" t="s">
        <v>97</v>
      </c>
    </row>
    <row r="961" spans="1:3" x14ac:dyDescent="0.2">
      <c r="A961" t="str">
        <f>"01641"</f>
        <v>01641</v>
      </c>
      <c r="B961" t="s">
        <v>1510</v>
      </c>
      <c r="C961" t="s">
        <v>163</v>
      </c>
    </row>
    <row r="962" spans="1:3" x14ac:dyDescent="0.2">
      <c r="A962" t="str">
        <f>"01643"</f>
        <v>01643</v>
      </c>
      <c r="B962" t="s">
        <v>1511</v>
      </c>
      <c r="C962" t="s">
        <v>25</v>
      </c>
    </row>
    <row r="963" spans="1:3" x14ac:dyDescent="0.2">
      <c r="A963" t="str">
        <f>"01645"</f>
        <v>01645</v>
      </c>
      <c r="B963" t="s">
        <v>579</v>
      </c>
      <c r="C963" t="s">
        <v>233</v>
      </c>
    </row>
    <row r="964" spans="1:3" x14ac:dyDescent="0.2">
      <c r="A964" t="str">
        <f>"01650"</f>
        <v>01650</v>
      </c>
      <c r="B964" t="s">
        <v>1512</v>
      </c>
      <c r="C964" t="s">
        <v>89</v>
      </c>
    </row>
    <row r="965" spans="1:3" x14ac:dyDescent="0.2">
      <c r="A965" t="str">
        <f>"01651"</f>
        <v>01651</v>
      </c>
      <c r="B965" t="s">
        <v>580</v>
      </c>
      <c r="C965" t="s">
        <v>233</v>
      </c>
    </row>
    <row r="966" spans="1:3" x14ac:dyDescent="0.2">
      <c r="A966" t="str">
        <f>"01652"</f>
        <v>01652</v>
      </c>
      <c r="B966" t="s">
        <v>1513</v>
      </c>
      <c r="C966" t="s">
        <v>25</v>
      </c>
    </row>
    <row r="967" spans="1:3" x14ac:dyDescent="0.2">
      <c r="A967" t="str">
        <f>"01653"</f>
        <v>01653</v>
      </c>
      <c r="B967" t="s">
        <v>788</v>
      </c>
      <c r="C967" t="s">
        <v>162</v>
      </c>
    </row>
    <row r="968" spans="1:3" x14ac:dyDescent="0.2">
      <c r="A968" t="str">
        <f>"01655"</f>
        <v>01655</v>
      </c>
      <c r="B968" t="s">
        <v>1514</v>
      </c>
      <c r="C968" t="s">
        <v>101</v>
      </c>
    </row>
    <row r="969" spans="1:3" x14ac:dyDescent="0.2">
      <c r="A969" t="str">
        <f>"01656"</f>
        <v>01656</v>
      </c>
      <c r="B969" t="s">
        <v>1515</v>
      </c>
      <c r="C969" t="s">
        <v>233</v>
      </c>
    </row>
    <row r="970" spans="1:3" x14ac:dyDescent="0.2">
      <c r="A970" t="str">
        <f>"01657"</f>
        <v>01657</v>
      </c>
      <c r="B970" t="s">
        <v>1516</v>
      </c>
      <c r="C970" t="s">
        <v>112</v>
      </c>
    </row>
    <row r="971" spans="1:3" x14ac:dyDescent="0.2">
      <c r="A971" t="str">
        <f>"01658"</f>
        <v>01658</v>
      </c>
      <c r="B971" t="s">
        <v>581</v>
      </c>
      <c r="C971" t="s">
        <v>196</v>
      </c>
    </row>
    <row r="972" spans="1:3" x14ac:dyDescent="0.2">
      <c r="A972" t="str">
        <f>"01660"</f>
        <v>01660</v>
      </c>
      <c r="B972" t="s">
        <v>789</v>
      </c>
      <c r="C972" t="s">
        <v>233</v>
      </c>
    </row>
    <row r="973" spans="1:3" x14ac:dyDescent="0.2">
      <c r="A973" t="str">
        <f>"01661"</f>
        <v>01661</v>
      </c>
      <c r="B973" t="s">
        <v>1517</v>
      </c>
      <c r="C973" t="s">
        <v>101</v>
      </c>
    </row>
    <row r="974" spans="1:3" x14ac:dyDescent="0.2">
      <c r="A974" t="str">
        <f>"01662"</f>
        <v>01662</v>
      </c>
      <c r="B974" t="s">
        <v>790</v>
      </c>
      <c r="C974" t="s">
        <v>162</v>
      </c>
    </row>
    <row r="975" spans="1:3" x14ac:dyDescent="0.2">
      <c r="A975" t="str">
        <f>"01666"</f>
        <v>01666</v>
      </c>
      <c r="B975" t="s">
        <v>582</v>
      </c>
      <c r="C975" t="s">
        <v>25</v>
      </c>
    </row>
    <row r="976" spans="1:3" x14ac:dyDescent="0.2">
      <c r="A976" t="str">
        <f>"01667"</f>
        <v>01667</v>
      </c>
      <c r="B976" t="s">
        <v>1518</v>
      </c>
      <c r="C976" t="s">
        <v>162</v>
      </c>
    </row>
    <row r="977" spans="1:3" x14ac:dyDescent="0.2">
      <c r="A977" t="str">
        <f>"01669"</f>
        <v>01669</v>
      </c>
      <c r="B977" t="s">
        <v>1519</v>
      </c>
      <c r="C977" t="s">
        <v>171</v>
      </c>
    </row>
    <row r="978" spans="1:3" x14ac:dyDescent="0.2">
      <c r="A978" t="str">
        <f>"01671"</f>
        <v>01671</v>
      </c>
      <c r="B978" t="s">
        <v>1520</v>
      </c>
      <c r="C978" t="s">
        <v>208</v>
      </c>
    </row>
    <row r="979" spans="1:3" x14ac:dyDescent="0.2">
      <c r="A979" t="str">
        <f>"01672"</f>
        <v>01672</v>
      </c>
      <c r="B979" t="s">
        <v>583</v>
      </c>
      <c r="C979" t="s">
        <v>25</v>
      </c>
    </row>
    <row r="980" spans="1:3" x14ac:dyDescent="0.2">
      <c r="A980" t="str">
        <f>"01673"</f>
        <v>01673</v>
      </c>
      <c r="B980" t="s">
        <v>1521</v>
      </c>
      <c r="C980" t="s">
        <v>233</v>
      </c>
    </row>
    <row r="981" spans="1:3" x14ac:dyDescent="0.2">
      <c r="A981" t="str">
        <f>"01675"</f>
        <v>01675</v>
      </c>
      <c r="B981" t="s">
        <v>584</v>
      </c>
      <c r="C981" t="s">
        <v>137</v>
      </c>
    </row>
    <row r="982" spans="1:3" x14ac:dyDescent="0.2">
      <c r="A982" t="str">
        <f>"01679"</f>
        <v>01679</v>
      </c>
      <c r="B982" t="s">
        <v>1522</v>
      </c>
      <c r="C982" t="s">
        <v>137</v>
      </c>
    </row>
    <row r="983" spans="1:3" x14ac:dyDescent="0.2">
      <c r="A983" t="str">
        <f>"01680"</f>
        <v>01680</v>
      </c>
      <c r="B983" t="s">
        <v>1523</v>
      </c>
      <c r="C983" t="s">
        <v>101</v>
      </c>
    </row>
    <row r="984" spans="1:3" x14ac:dyDescent="0.2">
      <c r="A984" t="str">
        <f>"01681"</f>
        <v>01681</v>
      </c>
      <c r="B984" t="s">
        <v>585</v>
      </c>
      <c r="C984" t="s">
        <v>25</v>
      </c>
    </row>
    <row r="985" spans="1:3" x14ac:dyDescent="0.2">
      <c r="A985" t="str">
        <f>"01682"</f>
        <v>01682</v>
      </c>
      <c r="B985" t="s">
        <v>1524</v>
      </c>
      <c r="C985" t="s">
        <v>112</v>
      </c>
    </row>
    <row r="986" spans="1:3" x14ac:dyDescent="0.2">
      <c r="A986" t="str">
        <f>"01683"</f>
        <v>01683</v>
      </c>
      <c r="B986" t="s">
        <v>1525</v>
      </c>
      <c r="C986" t="s">
        <v>162</v>
      </c>
    </row>
    <row r="987" spans="1:3" x14ac:dyDescent="0.2">
      <c r="A987" t="str">
        <f>"01685"</f>
        <v>01685</v>
      </c>
      <c r="B987" t="s">
        <v>1526</v>
      </c>
      <c r="C987" t="s">
        <v>233</v>
      </c>
    </row>
    <row r="988" spans="1:3" x14ac:dyDescent="0.2">
      <c r="A988" t="str">
        <f>"01686"</f>
        <v>01686</v>
      </c>
      <c r="B988" t="s">
        <v>586</v>
      </c>
      <c r="C988" t="s">
        <v>137</v>
      </c>
    </row>
    <row r="989" spans="1:3" x14ac:dyDescent="0.2">
      <c r="A989" t="str">
        <f>"01689"</f>
        <v>01689</v>
      </c>
      <c r="B989" t="s">
        <v>1527</v>
      </c>
      <c r="C989" t="s">
        <v>217</v>
      </c>
    </row>
    <row r="990" spans="1:3" x14ac:dyDescent="0.2">
      <c r="A990" t="str">
        <f>"01690"</f>
        <v>01690</v>
      </c>
      <c r="B990" t="s">
        <v>1528</v>
      </c>
      <c r="C990" t="s">
        <v>162</v>
      </c>
    </row>
    <row r="991" spans="1:3" x14ac:dyDescent="0.2">
      <c r="A991" t="str">
        <f>"01691"</f>
        <v>01691</v>
      </c>
      <c r="B991" t="s">
        <v>587</v>
      </c>
      <c r="C991" t="s">
        <v>120</v>
      </c>
    </row>
    <row r="992" spans="1:3" x14ac:dyDescent="0.2">
      <c r="A992" t="str">
        <f>"01692"</f>
        <v>01692</v>
      </c>
      <c r="B992" t="s">
        <v>1529</v>
      </c>
      <c r="C992" t="s">
        <v>120</v>
      </c>
    </row>
    <row r="993" spans="1:3" x14ac:dyDescent="0.2">
      <c r="A993" t="str">
        <f>"01693"</f>
        <v>01693</v>
      </c>
      <c r="B993" t="s">
        <v>1530</v>
      </c>
      <c r="C993" t="s">
        <v>162</v>
      </c>
    </row>
    <row r="994" spans="1:3" x14ac:dyDescent="0.2">
      <c r="A994" t="str">
        <f>"01696"</f>
        <v>01696</v>
      </c>
      <c r="B994" t="s">
        <v>588</v>
      </c>
      <c r="C994" t="s">
        <v>911</v>
      </c>
    </row>
    <row r="995" spans="1:3" x14ac:dyDescent="0.2">
      <c r="A995" t="str">
        <f>"01697"</f>
        <v>01697</v>
      </c>
      <c r="B995" t="s">
        <v>1531</v>
      </c>
      <c r="C995" t="s">
        <v>171</v>
      </c>
    </row>
    <row r="996" spans="1:3" x14ac:dyDescent="0.2">
      <c r="A996" t="str">
        <f>"01698"</f>
        <v>01698</v>
      </c>
      <c r="B996" t="s">
        <v>589</v>
      </c>
      <c r="C996" t="s">
        <v>97</v>
      </c>
    </row>
    <row r="997" spans="1:3" x14ac:dyDescent="0.2">
      <c r="A997" t="str">
        <f>"01702"</f>
        <v>01702</v>
      </c>
      <c r="B997" t="s">
        <v>1532</v>
      </c>
      <c r="C997" t="s">
        <v>257</v>
      </c>
    </row>
    <row r="998" spans="1:3" x14ac:dyDescent="0.2">
      <c r="A998" t="str">
        <f>"01703"</f>
        <v>01703</v>
      </c>
      <c r="B998" t="s">
        <v>1533</v>
      </c>
      <c r="C998" t="s">
        <v>101</v>
      </c>
    </row>
    <row r="999" spans="1:3" x14ac:dyDescent="0.2">
      <c r="A999" t="str">
        <f>"01705"</f>
        <v>01705</v>
      </c>
      <c r="B999" t="s">
        <v>1534</v>
      </c>
      <c r="C999" t="s">
        <v>68</v>
      </c>
    </row>
    <row r="1000" spans="1:3" x14ac:dyDescent="0.2">
      <c r="A1000" t="str">
        <f>"01709"</f>
        <v>01709</v>
      </c>
      <c r="B1000" t="s">
        <v>590</v>
      </c>
      <c r="C1000" t="s">
        <v>171</v>
      </c>
    </row>
    <row r="1001" spans="1:3" x14ac:dyDescent="0.2">
      <c r="A1001" t="str">
        <f>"01710"</f>
        <v>01710</v>
      </c>
      <c r="B1001" t="s">
        <v>1535</v>
      </c>
      <c r="C1001" t="s">
        <v>233</v>
      </c>
    </row>
    <row r="1002" spans="1:3" x14ac:dyDescent="0.2">
      <c r="A1002" t="str">
        <f>"01711"</f>
        <v>01711</v>
      </c>
      <c r="B1002" t="s">
        <v>1536</v>
      </c>
      <c r="C1002" t="s">
        <v>81</v>
      </c>
    </row>
    <row r="1003" spans="1:3" x14ac:dyDescent="0.2">
      <c r="A1003" t="str">
        <f>"01712"</f>
        <v>01712</v>
      </c>
      <c r="B1003" t="s">
        <v>591</v>
      </c>
      <c r="C1003" t="s">
        <v>272</v>
      </c>
    </row>
    <row r="1004" spans="1:3" x14ac:dyDescent="0.2">
      <c r="A1004" t="str">
        <f>"01713"</f>
        <v>01713</v>
      </c>
      <c r="B1004" t="s">
        <v>1537</v>
      </c>
      <c r="C1004" t="s">
        <v>208</v>
      </c>
    </row>
    <row r="1005" spans="1:3" x14ac:dyDescent="0.2">
      <c r="A1005" t="str">
        <f>"01715"</f>
        <v>01715</v>
      </c>
      <c r="B1005" t="s">
        <v>1538</v>
      </c>
      <c r="C1005" t="s">
        <v>120</v>
      </c>
    </row>
    <row r="1006" spans="1:3" x14ac:dyDescent="0.2">
      <c r="A1006" t="str">
        <f>"01716"</f>
        <v>01716</v>
      </c>
      <c r="B1006" t="s">
        <v>1539</v>
      </c>
      <c r="C1006" t="s">
        <v>97</v>
      </c>
    </row>
    <row r="1007" spans="1:3" x14ac:dyDescent="0.2">
      <c r="A1007" t="str">
        <f>"01717"</f>
        <v>01717</v>
      </c>
      <c r="B1007" t="s">
        <v>1540</v>
      </c>
      <c r="C1007" t="s">
        <v>68</v>
      </c>
    </row>
    <row r="1008" spans="1:3" x14ac:dyDescent="0.2">
      <c r="A1008" t="str">
        <f>"01718"</f>
        <v>01718</v>
      </c>
      <c r="B1008" t="s">
        <v>1541</v>
      </c>
      <c r="C1008" t="s">
        <v>162</v>
      </c>
    </row>
    <row r="1009" spans="1:3" x14ac:dyDescent="0.2">
      <c r="A1009" t="str">
        <f>"01719"</f>
        <v>01719</v>
      </c>
      <c r="B1009" t="s">
        <v>1542</v>
      </c>
      <c r="C1009" t="s">
        <v>220</v>
      </c>
    </row>
    <row r="1010" spans="1:3" x14ac:dyDescent="0.2">
      <c r="A1010" t="str">
        <f>"01720"</f>
        <v>01720</v>
      </c>
      <c r="B1010" t="s">
        <v>1543</v>
      </c>
      <c r="C1010" t="s">
        <v>154</v>
      </c>
    </row>
    <row r="1011" spans="1:3" x14ac:dyDescent="0.2">
      <c r="A1011" t="str">
        <f>"01721"</f>
        <v>01721</v>
      </c>
      <c r="B1011" t="s">
        <v>1544</v>
      </c>
      <c r="C1011" t="s">
        <v>264</v>
      </c>
    </row>
    <row r="1012" spans="1:3" x14ac:dyDescent="0.2">
      <c r="A1012" t="str">
        <f>"01723"</f>
        <v>01723</v>
      </c>
      <c r="B1012" t="s">
        <v>592</v>
      </c>
      <c r="C1012" t="s">
        <v>81</v>
      </c>
    </row>
    <row r="1013" spans="1:3" x14ac:dyDescent="0.2">
      <c r="A1013" t="str">
        <f>"01725"</f>
        <v>01725</v>
      </c>
      <c r="B1013" t="s">
        <v>1545</v>
      </c>
      <c r="C1013" t="s">
        <v>233</v>
      </c>
    </row>
    <row r="1014" spans="1:3" x14ac:dyDescent="0.2">
      <c r="A1014" t="str">
        <f>"01726"</f>
        <v>01726</v>
      </c>
      <c r="B1014" t="s">
        <v>1546</v>
      </c>
      <c r="C1014" t="s">
        <v>911</v>
      </c>
    </row>
    <row r="1015" spans="1:3" x14ac:dyDescent="0.2">
      <c r="A1015" t="str">
        <f>"01727"</f>
        <v>01727</v>
      </c>
      <c r="B1015" t="s">
        <v>1547</v>
      </c>
      <c r="C1015" t="s">
        <v>162</v>
      </c>
    </row>
    <row r="1016" spans="1:3" x14ac:dyDescent="0.2">
      <c r="A1016" t="str">
        <f>"01728"</f>
        <v>01728</v>
      </c>
      <c r="B1016" t="s">
        <v>1548</v>
      </c>
      <c r="C1016" t="s">
        <v>81</v>
      </c>
    </row>
    <row r="1017" spans="1:3" x14ac:dyDescent="0.2">
      <c r="A1017" t="str">
        <f>"01729"</f>
        <v>01729</v>
      </c>
      <c r="B1017" t="s">
        <v>593</v>
      </c>
      <c r="C1017" t="s">
        <v>154</v>
      </c>
    </row>
    <row r="1018" spans="1:3" x14ac:dyDescent="0.2">
      <c r="A1018" t="str">
        <f>"01731"</f>
        <v>01731</v>
      </c>
      <c r="B1018" t="s">
        <v>1549</v>
      </c>
      <c r="C1018" t="s">
        <v>112</v>
      </c>
    </row>
    <row r="1019" spans="1:3" x14ac:dyDescent="0.2">
      <c r="A1019" t="str">
        <f>"01732"</f>
        <v>01732</v>
      </c>
      <c r="B1019" t="s">
        <v>1550</v>
      </c>
      <c r="C1019" t="s">
        <v>220</v>
      </c>
    </row>
    <row r="1020" spans="1:3" x14ac:dyDescent="0.2">
      <c r="A1020" t="str">
        <f>"01733"</f>
        <v>01733</v>
      </c>
      <c r="B1020" t="s">
        <v>1551</v>
      </c>
      <c r="C1020" t="s">
        <v>912</v>
      </c>
    </row>
    <row r="1021" spans="1:3" x14ac:dyDescent="0.2">
      <c r="A1021" t="str">
        <f>"01735"</f>
        <v>01735</v>
      </c>
      <c r="B1021" t="s">
        <v>594</v>
      </c>
      <c r="C1021" t="s">
        <v>233</v>
      </c>
    </row>
    <row r="1022" spans="1:3" x14ac:dyDescent="0.2">
      <c r="A1022" t="str">
        <f>"01737"</f>
        <v>01737</v>
      </c>
      <c r="B1022" t="s">
        <v>1552</v>
      </c>
      <c r="C1022" t="s">
        <v>220</v>
      </c>
    </row>
    <row r="1023" spans="1:3" x14ac:dyDescent="0.2">
      <c r="A1023" t="str">
        <f>"01739"</f>
        <v>01739</v>
      </c>
      <c r="B1023" t="s">
        <v>1553</v>
      </c>
      <c r="C1023" t="s">
        <v>97</v>
      </c>
    </row>
    <row r="1024" spans="1:3" x14ac:dyDescent="0.2">
      <c r="A1024" t="str">
        <f>"01740"</f>
        <v>01740</v>
      </c>
      <c r="B1024" t="s">
        <v>1554</v>
      </c>
      <c r="C1024" t="s">
        <v>97</v>
      </c>
    </row>
    <row r="1025" spans="1:3" x14ac:dyDescent="0.2">
      <c r="A1025" t="str">
        <f>"01741"</f>
        <v>01741</v>
      </c>
      <c r="B1025" t="s">
        <v>1555</v>
      </c>
      <c r="C1025" t="s">
        <v>162</v>
      </c>
    </row>
    <row r="1026" spans="1:3" x14ac:dyDescent="0.2">
      <c r="A1026" t="str">
        <f>"01742"</f>
        <v>01742</v>
      </c>
      <c r="B1026" t="s">
        <v>1556</v>
      </c>
      <c r="C1026" t="s">
        <v>162</v>
      </c>
    </row>
    <row r="1027" spans="1:3" x14ac:dyDescent="0.2">
      <c r="A1027" t="str">
        <f>"01746"</f>
        <v>01746</v>
      </c>
      <c r="B1027" t="s">
        <v>1557</v>
      </c>
      <c r="C1027" t="s">
        <v>162</v>
      </c>
    </row>
    <row r="1028" spans="1:3" x14ac:dyDescent="0.2">
      <c r="A1028" t="str">
        <f>"01747"</f>
        <v>01747</v>
      </c>
      <c r="B1028" t="s">
        <v>791</v>
      </c>
      <c r="C1028" t="s">
        <v>120</v>
      </c>
    </row>
    <row r="1029" spans="1:3" x14ac:dyDescent="0.2">
      <c r="A1029" t="str">
        <f>"01748"</f>
        <v>01748</v>
      </c>
      <c r="B1029" t="s">
        <v>1558</v>
      </c>
      <c r="C1029" t="s">
        <v>220</v>
      </c>
    </row>
    <row r="1030" spans="1:3" x14ac:dyDescent="0.2">
      <c r="A1030" t="str">
        <f>"01751"</f>
        <v>01751</v>
      </c>
      <c r="B1030" t="s">
        <v>1559</v>
      </c>
      <c r="C1030" t="s">
        <v>162</v>
      </c>
    </row>
    <row r="1031" spans="1:3" x14ac:dyDescent="0.2">
      <c r="A1031" t="str">
        <f>"01753"</f>
        <v>01753</v>
      </c>
      <c r="B1031" t="s">
        <v>1560</v>
      </c>
      <c r="C1031" t="s">
        <v>97</v>
      </c>
    </row>
    <row r="1032" spans="1:3" x14ac:dyDescent="0.2">
      <c r="A1032" t="str">
        <f>"01755"</f>
        <v>01755</v>
      </c>
      <c r="B1032" t="s">
        <v>1561</v>
      </c>
      <c r="C1032" t="s">
        <v>163</v>
      </c>
    </row>
    <row r="1033" spans="1:3" x14ac:dyDescent="0.2">
      <c r="A1033" t="str">
        <f>"01756"</f>
        <v>01756</v>
      </c>
      <c r="B1033" t="s">
        <v>1562</v>
      </c>
      <c r="C1033" t="s">
        <v>89</v>
      </c>
    </row>
    <row r="1034" spans="1:3" x14ac:dyDescent="0.2">
      <c r="A1034" t="str">
        <f>"01757"</f>
        <v>01757</v>
      </c>
      <c r="B1034" t="s">
        <v>1563</v>
      </c>
      <c r="C1034" t="s">
        <v>162</v>
      </c>
    </row>
    <row r="1035" spans="1:3" x14ac:dyDescent="0.2">
      <c r="A1035" t="str">
        <f>"01758"</f>
        <v>01758</v>
      </c>
      <c r="B1035" t="s">
        <v>1564</v>
      </c>
      <c r="C1035" t="s">
        <v>89</v>
      </c>
    </row>
    <row r="1036" spans="1:3" x14ac:dyDescent="0.2">
      <c r="A1036" t="str">
        <f>"01759"</f>
        <v>01759</v>
      </c>
      <c r="B1036" t="s">
        <v>1565</v>
      </c>
      <c r="C1036" t="s">
        <v>208</v>
      </c>
    </row>
    <row r="1037" spans="1:3" x14ac:dyDescent="0.2">
      <c r="A1037" t="str">
        <f>"01760"</f>
        <v>01760</v>
      </c>
      <c r="B1037" t="s">
        <v>595</v>
      </c>
      <c r="C1037" t="s">
        <v>127</v>
      </c>
    </row>
    <row r="1038" spans="1:3" x14ac:dyDescent="0.2">
      <c r="A1038" t="str">
        <f>"01762"</f>
        <v>01762</v>
      </c>
      <c r="B1038" t="s">
        <v>596</v>
      </c>
      <c r="C1038" t="s">
        <v>97</v>
      </c>
    </row>
    <row r="1039" spans="1:3" x14ac:dyDescent="0.2">
      <c r="A1039" t="str">
        <f>"01763"</f>
        <v>01763</v>
      </c>
      <c r="B1039" t="s">
        <v>597</v>
      </c>
      <c r="C1039" t="s">
        <v>25</v>
      </c>
    </row>
    <row r="1040" spans="1:3" x14ac:dyDescent="0.2">
      <c r="A1040" t="str">
        <f>"01765"</f>
        <v>01765</v>
      </c>
      <c r="B1040" t="s">
        <v>1566</v>
      </c>
      <c r="C1040" t="s">
        <v>89</v>
      </c>
    </row>
    <row r="1041" spans="1:3" x14ac:dyDescent="0.2">
      <c r="A1041" t="str">
        <f>"01766"</f>
        <v>01766</v>
      </c>
      <c r="B1041" t="s">
        <v>598</v>
      </c>
      <c r="C1041" t="s">
        <v>233</v>
      </c>
    </row>
    <row r="1042" spans="1:3" x14ac:dyDescent="0.2">
      <c r="A1042" t="str">
        <f>"01767"</f>
        <v>01767</v>
      </c>
      <c r="B1042" t="s">
        <v>1567</v>
      </c>
      <c r="C1042" t="s">
        <v>68</v>
      </c>
    </row>
    <row r="1043" spans="1:3" x14ac:dyDescent="0.2">
      <c r="A1043" t="str">
        <f>"01768"</f>
        <v>01768</v>
      </c>
      <c r="B1043" t="s">
        <v>1568</v>
      </c>
      <c r="C1043" t="s">
        <v>68</v>
      </c>
    </row>
    <row r="1044" spans="1:3" x14ac:dyDescent="0.2">
      <c r="A1044" t="str">
        <f>"01769"</f>
        <v>01769</v>
      </c>
      <c r="B1044" t="s">
        <v>599</v>
      </c>
      <c r="C1044" t="s">
        <v>89</v>
      </c>
    </row>
    <row r="1045" spans="1:3" x14ac:dyDescent="0.2">
      <c r="A1045" t="str">
        <f>"01771"</f>
        <v>01771</v>
      </c>
      <c r="B1045" t="s">
        <v>1569</v>
      </c>
      <c r="C1045" t="s">
        <v>81</v>
      </c>
    </row>
    <row r="1046" spans="1:3" x14ac:dyDescent="0.2">
      <c r="A1046" t="str">
        <f>"01772"</f>
        <v>01772</v>
      </c>
      <c r="B1046" t="s">
        <v>600</v>
      </c>
      <c r="C1046" t="s">
        <v>264</v>
      </c>
    </row>
    <row r="1047" spans="1:3" x14ac:dyDescent="0.2">
      <c r="A1047" t="str">
        <f>"01773"</f>
        <v>01773</v>
      </c>
      <c r="B1047" t="s">
        <v>601</v>
      </c>
      <c r="C1047" t="s">
        <v>89</v>
      </c>
    </row>
    <row r="1048" spans="1:3" x14ac:dyDescent="0.2">
      <c r="A1048" t="str">
        <f>"01775"</f>
        <v>01775</v>
      </c>
      <c r="B1048" t="s">
        <v>1570</v>
      </c>
      <c r="C1048" t="s">
        <v>89</v>
      </c>
    </row>
    <row r="1049" spans="1:3" x14ac:dyDescent="0.2">
      <c r="A1049" t="str">
        <f>"01776"</f>
        <v>01776</v>
      </c>
      <c r="B1049" t="s">
        <v>602</v>
      </c>
      <c r="C1049" t="s">
        <v>171</v>
      </c>
    </row>
    <row r="1050" spans="1:3" x14ac:dyDescent="0.2">
      <c r="A1050" t="str">
        <f>"01778"</f>
        <v>01778</v>
      </c>
      <c r="B1050" t="s">
        <v>1571</v>
      </c>
      <c r="C1050" t="s">
        <v>163</v>
      </c>
    </row>
    <row r="1051" spans="1:3" x14ac:dyDescent="0.2">
      <c r="A1051" t="str">
        <f>"01779"</f>
        <v>01779</v>
      </c>
      <c r="B1051" t="s">
        <v>1572</v>
      </c>
      <c r="C1051" t="s">
        <v>25</v>
      </c>
    </row>
    <row r="1052" spans="1:3" x14ac:dyDescent="0.2">
      <c r="A1052" t="str">
        <f>"01780"</f>
        <v>01780</v>
      </c>
      <c r="B1052" t="s">
        <v>1573</v>
      </c>
      <c r="C1052" t="s">
        <v>162</v>
      </c>
    </row>
    <row r="1053" spans="1:3" x14ac:dyDescent="0.2">
      <c r="A1053" t="str">
        <f>"01782"</f>
        <v>01782</v>
      </c>
      <c r="B1053" t="s">
        <v>1574</v>
      </c>
      <c r="C1053" t="s">
        <v>137</v>
      </c>
    </row>
    <row r="1054" spans="1:3" x14ac:dyDescent="0.2">
      <c r="A1054" t="str">
        <f>"01783"</f>
        <v>01783</v>
      </c>
      <c r="B1054" t="s">
        <v>792</v>
      </c>
      <c r="C1054" t="s">
        <v>162</v>
      </c>
    </row>
    <row r="1055" spans="1:3" x14ac:dyDescent="0.2">
      <c r="A1055" t="str">
        <f>"01785"</f>
        <v>01785</v>
      </c>
      <c r="B1055" t="s">
        <v>1575</v>
      </c>
      <c r="C1055" t="s">
        <v>220</v>
      </c>
    </row>
    <row r="1056" spans="1:3" x14ac:dyDescent="0.2">
      <c r="A1056" t="str">
        <f>"01786"</f>
        <v>01786</v>
      </c>
      <c r="B1056" t="s">
        <v>1576</v>
      </c>
      <c r="C1056" t="s">
        <v>233</v>
      </c>
    </row>
    <row r="1057" spans="1:3" x14ac:dyDescent="0.2">
      <c r="A1057" t="str">
        <f>"01787"</f>
        <v>01787</v>
      </c>
      <c r="B1057" t="s">
        <v>603</v>
      </c>
      <c r="C1057" t="s">
        <v>272</v>
      </c>
    </row>
    <row r="1058" spans="1:3" x14ac:dyDescent="0.2">
      <c r="A1058" t="str">
        <f>"01788"</f>
        <v>01788</v>
      </c>
      <c r="B1058" t="s">
        <v>604</v>
      </c>
      <c r="C1058" t="s">
        <v>171</v>
      </c>
    </row>
    <row r="1059" spans="1:3" x14ac:dyDescent="0.2">
      <c r="A1059" t="str">
        <f>"01789"</f>
        <v>01789</v>
      </c>
      <c r="B1059" t="s">
        <v>605</v>
      </c>
      <c r="C1059" t="s">
        <v>911</v>
      </c>
    </row>
    <row r="1060" spans="1:3" x14ac:dyDescent="0.2">
      <c r="A1060" t="str">
        <f>"01790"</f>
        <v>01790</v>
      </c>
      <c r="B1060" t="s">
        <v>1577</v>
      </c>
      <c r="C1060" t="s">
        <v>208</v>
      </c>
    </row>
    <row r="1061" spans="1:3" x14ac:dyDescent="0.2">
      <c r="A1061" t="str">
        <f>"01793"</f>
        <v>01793</v>
      </c>
      <c r="B1061" t="s">
        <v>1578</v>
      </c>
      <c r="C1061" t="s">
        <v>162</v>
      </c>
    </row>
    <row r="1062" spans="1:3" x14ac:dyDescent="0.2">
      <c r="A1062" t="str">
        <f>"01795"</f>
        <v>01795</v>
      </c>
      <c r="B1062" t="s">
        <v>1579</v>
      </c>
      <c r="C1062" t="s">
        <v>112</v>
      </c>
    </row>
    <row r="1063" spans="1:3" x14ac:dyDescent="0.2">
      <c r="A1063" t="str">
        <f>"01796"</f>
        <v>01796</v>
      </c>
      <c r="B1063" t="s">
        <v>793</v>
      </c>
      <c r="C1063" t="s">
        <v>162</v>
      </c>
    </row>
    <row r="1064" spans="1:3" x14ac:dyDescent="0.2">
      <c r="A1064" t="str">
        <f>"01797"</f>
        <v>01797</v>
      </c>
      <c r="B1064" t="s">
        <v>606</v>
      </c>
      <c r="C1064" t="s">
        <v>97</v>
      </c>
    </row>
    <row r="1065" spans="1:3" x14ac:dyDescent="0.2">
      <c r="A1065" t="str">
        <f>"01798"</f>
        <v>01798</v>
      </c>
      <c r="B1065" t="s">
        <v>607</v>
      </c>
      <c r="C1065" t="s">
        <v>208</v>
      </c>
    </row>
    <row r="1066" spans="1:3" x14ac:dyDescent="0.2">
      <c r="A1066" t="str">
        <f>"01799"</f>
        <v>01799</v>
      </c>
      <c r="B1066" t="s">
        <v>608</v>
      </c>
      <c r="C1066" t="s">
        <v>233</v>
      </c>
    </row>
    <row r="1067" spans="1:3" x14ac:dyDescent="0.2">
      <c r="A1067" t="str">
        <f>"01800"</f>
        <v>01800</v>
      </c>
      <c r="B1067" t="s">
        <v>609</v>
      </c>
      <c r="C1067" t="s">
        <v>162</v>
      </c>
    </row>
    <row r="1068" spans="1:3" x14ac:dyDescent="0.2">
      <c r="A1068" t="str">
        <f>"01801"</f>
        <v>01801</v>
      </c>
      <c r="B1068" t="s">
        <v>610</v>
      </c>
      <c r="C1068" t="s">
        <v>25</v>
      </c>
    </row>
    <row r="1069" spans="1:3" x14ac:dyDescent="0.2">
      <c r="A1069" t="str">
        <f>"01808"</f>
        <v>01808</v>
      </c>
      <c r="B1069" t="s">
        <v>1580</v>
      </c>
      <c r="C1069" t="s">
        <v>137</v>
      </c>
    </row>
    <row r="1070" spans="1:3" x14ac:dyDescent="0.2">
      <c r="A1070" t="str">
        <f>"01809"</f>
        <v>01809</v>
      </c>
      <c r="B1070" t="s">
        <v>1581</v>
      </c>
      <c r="C1070" t="s">
        <v>127</v>
      </c>
    </row>
    <row r="1071" spans="1:3" x14ac:dyDescent="0.2">
      <c r="A1071" t="str">
        <f>"01810"</f>
        <v>01810</v>
      </c>
      <c r="B1071" t="s">
        <v>611</v>
      </c>
      <c r="C1071" t="s">
        <v>154</v>
      </c>
    </row>
    <row r="1072" spans="1:3" x14ac:dyDescent="0.2">
      <c r="A1072" t="str">
        <f>"01811"</f>
        <v>01811</v>
      </c>
      <c r="B1072" t="s">
        <v>612</v>
      </c>
      <c r="C1072" t="s">
        <v>208</v>
      </c>
    </row>
    <row r="1073" spans="1:3" x14ac:dyDescent="0.2">
      <c r="A1073" t="str">
        <f>"01812"</f>
        <v>01812</v>
      </c>
      <c r="B1073" t="s">
        <v>1582</v>
      </c>
      <c r="C1073" t="s">
        <v>257</v>
      </c>
    </row>
    <row r="1074" spans="1:3" x14ac:dyDescent="0.2">
      <c r="A1074" t="str">
        <f>"01813"</f>
        <v>01813</v>
      </c>
      <c r="B1074" t="s">
        <v>1583</v>
      </c>
      <c r="C1074" t="s">
        <v>163</v>
      </c>
    </row>
    <row r="1075" spans="1:3" x14ac:dyDescent="0.2">
      <c r="A1075" t="str">
        <f>"01815"</f>
        <v>01815</v>
      </c>
      <c r="B1075" t="s">
        <v>613</v>
      </c>
      <c r="C1075" t="s">
        <v>272</v>
      </c>
    </row>
    <row r="1076" spans="1:3" x14ac:dyDescent="0.2">
      <c r="A1076" t="str">
        <f>"01816"</f>
        <v>01816</v>
      </c>
      <c r="B1076" t="s">
        <v>614</v>
      </c>
      <c r="C1076" t="s">
        <v>208</v>
      </c>
    </row>
    <row r="1077" spans="1:3" x14ac:dyDescent="0.2">
      <c r="A1077" t="str">
        <f>"01817"</f>
        <v>01817</v>
      </c>
      <c r="B1077" t="s">
        <v>1584</v>
      </c>
      <c r="C1077" t="s">
        <v>81</v>
      </c>
    </row>
    <row r="1078" spans="1:3" x14ac:dyDescent="0.2">
      <c r="A1078" t="str">
        <f>"01818"</f>
        <v>01818</v>
      </c>
      <c r="B1078" t="s">
        <v>615</v>
      </c>
      <c r="C1078" t="s">
        <v>272</v>
      </c>
    </row>
    <row r="1079" spans="1:3" x14ac:dyDescent="0.2">
      <c r="A1079" t="str">
        <f>"01820"</f>
        <v>01820</v>
      </c>
      <c r="B1079" t="s">
        <v>1585</v>
      </c>
      <c r="C1079" t="s">
        <v>217</v>
      </c>
    </row>
    <row r="1080" spans="1:3" x14ac:dyDescent="0.2">
      <c r="A1080" t="str">
        <f>"01822"</f>
        <v>01822</v>
      </c>
      <c r="B1080" t="s">
        <v>1586</v>
      </c>
      <c r="C1080" t="s">
        <v>257</v>
      </c>
    </row>
    <row r="1081" spans="1:3" x14ac:dyDescent="0.2">
      <c r="A1081" t="str">
        <f>"01823"</f>
        <v>01823</v>
      </c>
      <c r="B1081" t="s">
        <v>1587</v>
      </c>
      <c r="C1081" t="s">
        <v>68</v>
      </c>
    </row>
    <row r="1082" spans="1:3" x14ac:dyDescent="0.2">
      <c r="A1082" t="str">
        <f>"01826"</f>
        <v>01826</v>
      </c>
      <c r="B1082" t="s">
        <v>1588</v>
      </c>
      <c r="C1082" t="s">
        <v>162</v>
      </c>
    </row>
    <row r="1083" spans="1:3" x14ac:dyDescent="0.2">
      <c r="A1083" t="str">
        <f>"01827"</f>
        <v>01827</v>
      </c>
      <c r="B1083" t="s">
        <v>1589</v>
      </c>
      <c r="C1083" t="s">
        <v>911</v>
      </c>
    </row>
    <row r="1084" spans="1:3" x14ac:dyDescent="0.2">
      <c r="A1084" t="str">
        <f>"01828"</f>
        <v>01828</v>
      </c>
      <c r="B1084" t="s">
        <v>794</v>
      </c>
      <c r="C1084" t="s">
        <v>188</v>
      </c>
    </row>
    <row r="1085" spans="1:3" x14ac:dyDescent="0.2">
      <c r="A1085" t="str">
        <f>"01830"</f>
        <v>01830</v>
      </c>
      <c r="B1085" t="s">
        <v>1590</v>
      </c>
      <c r="C1085" t="s">
        <v>911</v>
      </c>
    </row>
    <row r="1086" spans="1:3" x14ac:dyDescent="0.2">
      <c r="A1086" t="str">
        <f>"01831"</f>
        <v>01831</v>
      </c>
      <c r="B1086" t="s">
        <v>1591</v>
      </c>
      <c r="C1086" t="s">
        <v>97</v>
      </c>
    </row>
    <row r="1087" spans="1:3" x14ac:dyDescent="0.2">
      <c r="A1087" t="str">
        <f>"01832"</f>
        <v>01832</v>
      </c>
      <c r="B1087" t="s">
        <v>1592</v>
      </c>
      <c r="C1087" t="s">
        <v>101</v>
      </c>
    </row>
    <row r="1088" spans="1:3" x14ac:dyDescent="0.2">
      <c r="A1088" t="str">
        <f>"01833"</f>
        <v>01833</v>
      </c>
      <c r="B1088" t="s">
        <v>616</v>
      </c>
      <c r="C1088" t="s">
        <v>911</v>
      </c>
    </row>
    <row r="1089" spans="1:3" x14ac:dyDescent="0.2">
      <c r="A1089" t="str">
        <f>"01836"</f>
        <v>01836</v>
      </c>
      <c r="B1089" t="s">
        <v>617</v>
      </c>
      <c r="C1089" t="s">
        <v>112</v>
      </c>
    </row>
    <row r="1090" spans="1:3" x14ac:dyDescent="0.2">
      <c r="A1090" t="str">
        <f>"01837"</f>
        <v>01837</v>
      </c>
      <c r="B1090" t="s">
        <v>618</v>
      </c>
      <c r="C1090" t="s">
        <v>68</v>
      </c>
    </row>
    <row r="1091" spans="1:3" x14ac:dyDescent="0.2">
      <c r="A1091" t="str">
        <f>"01843"</f>
        <v>01843</v>
      </c>
      <c r="B1091" t="s">
        <v>1593</v>
      </c>
      <c r="C1091" t="s">
        <v>101</v>
      </c>
    </row>
    <row r="1092" spans="1:3" x14ac:dyDescent="0.2">
      <c r="A1092" t="str">
        <f>"01845"</f>
        <v>01845</v>
      </c>
      <c r="B1092" t="s">
        <v>1594</v>
      </c>
      <c r="C1092" t="s">
        <v>233</v>
      </c>
    </row>
    <row r="1093" spans="1:3" x14ac:dyDescent="0.2">
      <c r="A1093" t="str">
        <f>"01846"</f>
        <v>01846</v>
      </c>
      <c r="B1093" t="s">
        <v>1595</v>
      </c>
      <c r="C1093" t="s">
        <v>911</v>
      </c>
    </row>
    <row r="1094" spans="1:3" x14ac:dyDescent="0.2">
      <c r="A1094" t="str">
        <f>"01848"</f>
        <v>01848</v>
      </c>
      <c r="B1094" t="s">
        <v>619</v>
      </c>
      <c r="C1094" t="s">
        <v>101</v>
      </c>
    </row>
    <row r="1095" spans="1:3" x14ac:dyDescent="0.2">
      <c r="A1095" t="str">
        <f>"01850"</f>
        <v>01850</v>
      </c>
      <c r="B1095" t="s">
        <v>1596</v>
      </c>
      <c r="C1095" t="s">
        <v>162</v>
      </c>
    </row>
    <row r="1096" spans="1:3" x14ac:dyDescent="0.2">
      <c r="A1096" t="str">
        <f>"01851"</f>
        <v>01851</v>
      </c>
      <c r="B1096" t="s">
        <v>1597</v>
      </c>
      <c r="C1096" t="s">
        <v>89</v>
      </c>
    </row>
    <row r="1097" spans="1:3" x14ac:dyDescent="0.2">
      <c r="A1097" t="str">
        <f>"01853"</f>
        <v>01853</v>
      </c>
      <c r="B1097" t="s">
        <v>1598</v>
      </c>
      <c r="C1097" t="s">
        <v>208</v>
      </c>
    </row>
    <row r="1098" spans="1:3" x14ac:dyDescent="0.2">
      <c r="A1098" t="str">
        <f>"01854"</f>
        <v>01854</v>
      </c>
      <c r="B1098" t="s">
        <v>1599</v>
      </c>
      <c r="C1098" t="s">
        <v>66</v>
      </c>
    </row>
    <row r="1099" spans="1:3" x14ac:dyDescent="0.2">
      <c r="A1099" t="str">
        <f>"01855"</f>
        <v>01855</v>
      </c>
      <c r="B1099" t="s">
        <v>795</v>
      </c>
      <c r="C1099" t="s">
        <v>162</v>
      </c>
    </row>
    <row r="1100" spans="1:3" x14ac:dyDescent="0.2">
      <c r="A1100" t="str">
        <f>"01856"</f>
        <v>01856</v>
      </c>
      <c r="B1100" t="s">
        <v>1600</v>
      </c>
      <c r="C1100" t="s">
        <v>112</v>
      </c>
    </row>
    <row r="1101" spans="1:3" x14ac:dyDescent="0.2">
      <c r="A1101" t="str">
        <f>"01857"</f>
        <v>01857</v>
      </c>
      <c r="B1101" t="s">
        <v>1601</v>
      </c>
      <c r="C1101" t="s">
        <v>208</v>
      </c>
    </row>
    <row r="1102" spans="1:3" x14ac:dyDescent="0.2">
      <c r="A1102" t="str">
        <f>"01858"</f>
        <v>01858</v>
      </c>
      <c r="B1102" t="s">
        <v>620</v>
      </c>
      <c r="C1102" t="s">
        <v>911</v>
      </c>
    </row>
    <row r="1103" spans="1:3" x14ac:dyDescent="0.2">
      <c r="A1103" t="str">
        <f>"01860"</f>
        <v>01860</v>
      </c>
      <c r="B1103" t="s">
        <v>621</v>
      </c>
      <c r="C1103" t="s">
        <v>97</v>
      </c>
    </row>
    <row r="1104" spans="1:3" x14ac:dyDescent="0.2">
      <c r="A1104" t="str">
        <f>"01861"</f>
        <v>01861</v>
      </c>
      <c r="B1104" t="s">
        <v>1602</v>
      </c>
      <c r="C1104" t="s">
        <v>257</v>
      </c>
    </row>
    <row r="1105" spans="1:3" x14ac:dyDescent="0.2">
      <c r="A1105" t="str">
        <f>"01863"</f>
        <v>01863</v>
      </c>
      <c r="B1105" t="s">
        <v>1603</v>
      </c>
      <c r="C1105" t="s">
        <v>257</v>
      </c>
    </row>
    <row r="1106" spans="1:3" x14ac:dyDescent="0.2">
      <c r="A1106" t="str">
        <f>"01865"</f>
        <v>01865</v>
      </c>
      <c r="B1106" t="s">
        <v>1604</v>
      </c>
      <c r="C1106" t="s">
        <v>162</v>
      </c>
    </row>
    <row r="1107" spans="1:3" x14ac:dyDescent="0.2">
      <c r="A1107" t="str">
        <f>"01866"</f>
        <v>01866</v>
      </c>
      <c r="B1107" t="s">
        <v>622</v>
      </c>
      <c r="C1107" t="s">
        <v>257</v>
      </c>
    </row>
    <row r="1108" spans="1:3" x14ac:dyDescent="0.2">
      <c r="A1108" t="str">
        <f>"01867"</f>
        <v>01867</v>
      </c>
      <c r="B1108" t="s">
        <v>1605</v>
      </c>
      <c r="C1108" t="s">
        <v>162</v>
      </c>
    </row>
    <row r="1109" spans="1:3" x14ac:dyDescent="0.2">
      <c r="A1109" t="str">
        <f>"01868"</f>
        <v>01868</v>
      </c>
      <c r="B1109" t="s">
        <v>1606</v>
      </c>
      <c r="C1109" t="s">
        <v>120</v>
      </c>
    </row>
    <row r="1110" spans="1:3" x14ac:dyDescent="0.2">
      <c r="A1110" t="str">
        <f>"01869"</f>
        <v>01869</v>
      </c>
      <c r="B1110" t="s">
        <v>1607</v>
      </c>
      <c r="C1110" t="s">
        <v>101</v>
      </c>
    </row>
    <row r="1111" spans="1:3" x14ac:dyDescent="0.2">
      <c r="A1111" t="str">
        <f>"01870"</f>
        <v>01870</v>
      </c>
      <c r="B1111" t="s">
        <v>796</v>
      </c>
      <c r="C1111" t="s">
        <v>162</v>
      </c>
    </row>
    <row r="1112" spans="1:3" x14ac:dyDescent="0.2">
      <c r="A1112" t="str">
        <f>"01871"</f>
        <v>01871</v>
      </c>
      <c r="B1112" t="s">
        <v>1608</v>
      </c>
      <c r="C1112" t="s">
        <v>89</v>
      </c>
    </row>
    <row r="1113" spans="1:3" x14ac:dyDescent="0.2">
      <c r="A1113" t="str">
        <f>"01872"</f>
        <v>01872</v>
      </c>
      <c r="B1113" t="s">
        <v>1609</v>
      </c>
      <c r="C1113" t="s">
        <v>81</v>
      </c>
    </row>
    <row r="1114" spans="1:3" x14ac:dyDescent="0.2">
      <c r="A1114" t="str">
        <f>"01873"</f>
        <v>01873</v>
      </c>
      <c r="B1114" t="s">
        <v>623</v>
      </c>
      <c r="C1114" t="s">
        <v>25</v>
      </c>
    </row>
    <row r="1115" spans="1:3" x14ac:dyDescent="0.2">
      <c r="A1115" t="str">
        <f>"01875"</f>
        <v>01875</v>
      </c>
      <c r="B1115" t="s">
        <v>1610</v>
      </c>
      <c r="C1115" t="s">
        <v>25</v>
      </c>
    </row>
    <row r="1116" spans="1:3" x14ac:dyDescent="0.2">
      <c r="A1116" t="str">
        <f>"01876"</f>
        <v>01876</v>
      </c>
      <c r="B1116" t="s">
        <v>624</v>
      </c>
      <c r="C1116" t="s">
        <v>68</v>
      </c>
    </row>
    <row r="1117" spans="1:3" x14ac:dyDescent="0.2">
      <c r="A1117" t="str">
        <f>"01877"</f>
        <v>01877</v>
      </c>
      <c r="B1117" t="s">
        <v>625</v>
      </c>
      <c r="C1117" t="s">
        <v>25</v>
      </c>
    </row>
    <row r="1118" spans="1:3" x14ac:dyDescent="0.2">
      <c r="A1118" t="str">
        <f>"01878"</f>
        <v>01878</v>
      </c>
      <c r="B1118" t="s">
        <v>1611</v>
      </c>
      <c r="C1118" t="s">
        <v>912</v>
      </c>
    </row>
    <row r="1119" spans="1:3" x14ac:dyDescent="0.2">
      <c r="A1119" t="str">
        <f>"01879"</f>
        <v>01879</v>
      </c>
      <c r="B1119" t="s">
        <v>1612</v>
      </c>
      <c r="C1119" t="s">
        <v>135</v>
      </c>
    </row>
    <row r="1120" spans="1:3" x14ac:dyDescent="0.2">
      <c r="A1120" t="str">
        <f>"01880"</f>
        <v>01880</v>
      </c>
      <c r="B1120" t="s">
        <v>626</v>
      </c>
      <c r="C1120" t="s">
        <v>101</v>
      </c>
    </row>
    <row r="1121" spans="1:3" x14ac:dyDescent="0.2">
      <c r="A1121" t="str">
        <f>"01882"</f>
        <v>01882</v>
      </c>
      <c r="B1121" t="s">
        <v>627</v>
      </c>
      <c r="C1121" t="s">
        <v>233</v>
      </c>
    </row>
    <row r="1122" spans="1:3" x14ac:dyDescent="0.2">
      <c r="A1122" t="str">
        <f>"01883"</f>
        <v>01883</v>
      </c>
      <c r="B1122" t="s">
        <v>628</v>
      </c>
      <c r="C1122" t="s">
        <v>215</v>
      </c>
    </row>
    <row r="1123" spans="1:3" x14ac:dyDescent="0.2">
      <c r="A1123" t="str">
        <f>"01888"</f>
        <v>01888</v>
      </c>
      <c r="B1123" t="s">
        <v>629</v>
      </c>
      <c r="C1123" t="s">
        <v>233</v>
      </c>
    </row>
    <row r="1124" spans="1:3" x14ac:dyDescent="0.2">
      <c r="A1124" t="str">
        <f>"01890"</f>
        <v>01890</v>
      </c>
      <c r="B1124" t="s">
        <v>630</v>
      </c>
      <c r="C1124" t="s">
        <v>89</v>
      </c>
    </row>
    <row r="1125" spans="1:3" x14ac:dyDescent="0.2">
      <c r="A1125" t="str">
        <f>"01891"</f>
        <v>01891</v>
      </c>
      <c r="B1125" t="s">
        <v>1613</v>
      </c>
      <c r="C1125" t="s">
        <v>264</v>
      </c>
    </row>
    <row r="1126" spans="1:3" x14ac:dyDescent="0.2">
      <c r="A1126" t="str">
        <f>"01895"</f>
        <v>01895</v>
      </c>
      <c r="B1126" t="s">
        <v>1614</v>
      </c>
      <c r="C1126" t="s">
        <v>163</v>
      </c>
    </row>
    <row r="1127" spans="1:3" x14ac:dyDescent="0.2">
      <c r="A1127" t="str">
        <f>"01896"</f>
        <v>01896</v>
      </c>
      <c r="B1127" t="s">
        <v>631</v>
      </c>
      <c r="C1127" t="s">
        <v>97</v>
      </c>
    </row>
    <row r="1128" spans="1:3" x14ac:dyDescent="0.2">
      <c r="A1128" t="str">
        <f>"01897"</f>
        <v>01897</v>
      </c>
      <c r="B1128" t="s">
        <v>1615</v>
      </c>
      <c r="C1128" t="s">
        <v>162</v>
      </c>
    </row>
    <row r="1129" spans="1:3" x14ac:dyDescent="0.2">
      <c r="A1129" t="str">
        <f>"01898"</f>
        <v>01898</v>
      </c>
      <c r="B1129" t="s">
        <v>797</v>
      </c>
      <c r="C1129" t="s">
        <v>912</v>
      </c>
    </row>
    <row r="1130" spans="1:3" x14ac:dyDescent="0.2">
      <c r="A1130" t="str">
        <f>"01899"</f>
        <v>01899</v>
      </c>
      <c r="B1130" t="s">
        <v>1616</v>
      </c>
      <c r="C1130" t="s">
        <v>233</v>
      </c>
    </row>
    <row r="1131" spans="1:3" x14ac:dyDescent="0.2">
      <c r="A1131" t="str">
        <f>"01900"</f>
        <v>01900</v>
      </c>
      <c r="B1131" t="s">
        <v>1617</v>
      </c>
      <c r="C1131" t="s">
        <v>215</v>
      </c>
    </row>
    <row r="1132" spans="1:3" x14ac:dyDescent="0.2">
      <c r="A1132" t="str">
        <f>"01901"</f>
        <v>01901</v>
      </c>
      <c r="B1132" t="s">
        <v>1618</v>
      </c>
      <c r="C1132" t="s">
        <v>101</v>
      </c>
    </row>
    <row r="1133" spans="1:3" x14ac:dyDescent="0.2">
      <c r="A1133" t="str">
        <f>"01903"</f>
        <v>01903</v>
      </c>
      <c r="B1133" t="s">
        <v>1619</v>
      </c>
      <c r="C1133" t="s">
        <v>220</v>
      </c>
    </row>
    <row r="1134" spans="1:3" x14ac:dyDescent="0.2">
      <c r="A1134" t="str">
        <f>"01905"</f>
        <v>01905</v>
      </c>
      <c r="B1134" t="s">
        <v>1620</v>
      </c>
      <c r="C1134" t="s">
        <v>171</v>
      </c>
    </row>
    <row r="1135" spans="1:3" x14ac:dyDescent="0.2">
      <c r="A1135" t="str">
        <f>"01906"</f>
        <v>01906</v>
      </c>
      <c r="B1135" t="s">
        <v>798</v>
      </c>
      <c r="C1135" t="s">
        <v>112</v>
      </c>
    </row>
    <row r="1136" spans="1:3" x14ac:dyDescent="0.2">
      <c r="A1136" t="str">
        <f>"01907"</f>
        <v>01907</v>
      </c>
      <c r="B1136" t="s">
        <v>632</v>
      </c>
      <c r="C1136" t="s">
        <v>257</v>
      </c>
    </row>
    <row r="1137" spans="1:3" x14ac:dyDescent="0.2">
      <c r="A1137" t="str">
        <f>"01908"</f>
        <v>01908</v>
      </c>
      <c r="B1137" t="s">
        <v>633</v>
      </c>
      <c r="C1137" t="s">
        <v>163</v>
      </c>
    </row>
    <row r="1138" spans="1:3" x14ac:dyDescent="0.2">
      <c r="A1138" t="str">
        <f>"01909"</f>
        <v>01909</v>
      </c>
      <c r="B1138" t="s">
        <v>1621</v>
      </c>
      <c r="C1138" t="s">
        <v>137</v>
      </c>
    </row>
    <row r="1139" spans="1:3" x14ac:dyDescent="0.2">
      <c r="A1139" t="str">
        <f>"01910"</f>
        <v>01910</v>
      </c>
      <c r="B1139" t="s">
        <v>634</v>
      </c>
      <c r="C1139" t="s">
        <v>112</v>
      </c>
    </row>
    <row r="1140" spans="1:3" x14ac:dyDescent="0.2">
      <c r="A1140" t="str">
        <f>"01911"</f>
        <v>01911</v>
      </c>
      <c r="B1140" t="s">
        <v>635</v>
      </c>
      <c r="C1140" t="s">
        <v>171</v>
      </c>
    </row>
    <row r="1141" spans="1:3" x14ac:dyDescent="0.2">
      <c r="A1141" t="str">
        <f>"01912"</f>
        <v>01912</v>
      </c>
      <c r="B1141" t="s">
        <v>1622</v>
      </c>
      <c r="C1141" t="s">
        <v>135</v>
      </c>
    </row>
    <row r="1142" spans="1:3" x14ac:dyDescent="0.2">
      <c r="A1142" t="str">
        <f>"01913"</f>
        <v>01913</v>
      </c>
      <c r="B1142" t="s">
        <v>636</v>
      </c>
      <c r="C1142" t="s">
        <v>112</v>
      </c>
    </row>
    <row r="1143" spans="1:3" x14ac:dyDescent="0.2">
      <c r="A1143" t="str">
        <f>"01916"</f>
        <v>01916</v>
      </c>
      <c r="B1143" t="s">
        <v>1623</v>
      </c>
      <c r="C1143" t="s">
        <v>196</v>
      </c>
    </row>
    <row r="1144" spans="1:3" x14ac:dyDescent="0.2">
      <c r="A1144" t="str">
        <f>"01918"</f>
        <v>01918</v>
      </c>
      <c r="B1144" t="s">
        <v>799</v>
      </c>
      <c r="C1144" t="s">
        <v>163</v>
      </c>
    </row>
    <row r="1145" spans="1:3" x14ac:dyDescent="0.2">
      <c r="A1145" t="str">
        <f>"01919"</f>
        <v>01919</v>
      </c>
      <c r="B1145" t="s">
        <v>637</v>
      </c>
      <c r="C1145" t="s">
        <v>220</v>
      </c>
    </row>
    <row r="1146" spans="1:3" x14ac:dyDescent="0.2">
      <c r="A1146" t="str">
        <f>"01920"</f>
        <v>01920</v>
      </c>
      <c r="B1146" t="s">
        <v>1624</v>
      </c>
      <c r="C1146" t="s">
        <v>162</v>
      </c>
    </row>
    <row r="1147" spans="1:3" x14ac:dyDescent="0.2">
      <c r="A1147" t="str">
        <f>"01921"</f>
        <v>01921</v>
      </c>
      <c r="B1147" t="s">
        <v>638</v>
      </c>
      <c r="C1147" t="s">
        <v>277</v>
      </c>
    </row>
    <row r="1148" spans="1:3" x14ac:dyDescent="0.2">
      <c r="A1148" t="str">
        <f>"01925"</f>
        <v>01925</v>
      </c>
      <c r="B1148" t="s">
        <v>1625</v>
      </c>
      <c r="C1148" t="s">
        <v>120</v>
      </c>
    </row>
    <row r="1149" spans="1:3" x14ac:dyDescent="0.2">
      <c r="A1149" t="str">
        <f>"01927"</f>
        <v>01927</v>
      </c>
      <c r="B1149" t="s">
        <v>1626</v>
      </c>
      <c r="C1149" t="s">
        <v>68</v>
      </c>
    </row>
    <row r="1150" spans="1:3" x14ac:dyDescent="0.2">
      <c r="A1150" t="str">
        <f>"01928"</f>
        <v>01928</v>
      </c>
      <c r="B1150" t="s">
        <v>639</v>
      </c>
      <c r="C1150" t="s">
        <v>101</v>
      </c>
    </row>
    <row r="1151" spans="1:3" x14ac:dyDescent="0.2">
      <c r="A1151" t="str">
        <f>"01929"</f>
        <v>01929</v>
      </c>
      <c r="B1151" t="s">
        <v>640</v>
      </c>
      <c r="C1151" t="s">
        <v>81</v>
      </c>
    </row>
    <row r="1152" spans="1:3" x14ac:dyDescent="0.2">
      <c r="A1152" t="str">
        <f>"01930"</f>
        <v>01930</v>
      </c>
      <c r="B1152" t="s">
        <v>1627</v>
      </c>
      <c r="C1152" t="s">
        <v>233</v>
      </c>
    </row>
    <row r="1153" spans="1:3" x14ac:dyDescent="0.2">
      <c r="A1153" t="str">
        <f>"01931"</f>
        <v>01931</v>
      </c>
      <c r="B1153" t="s">
        <v>641</v>
      </c>
      <c r="C1153" t="s">
        <v>911</v>
      </c>
    </row>
    <row r="1154" spans="1:3" x14ac:dyDescent="0.2">
      <c r="A1154" t="str">
        <f>"01932"</f>
        <v>01932</v>
      </c>
      <c r="B1154" t="s">
        <v>1628</v>
      </c>
      <c r="C1154" t="s">
        <v>257</v>
      </c>
    </row>
    <row r="1155" spans="1:3" x14ac:dyDescent="0.2">
      <c r="A1155" t="str">
        <f>"01933"</f>
        <v>01933</v>
      </c>
      <c r="B1155" t="s">
        <v>1629</v>
      </c>
      <c r="C1155" t="s">
        <v>137</v>
      </c>
    </row>
    <row r="1156" spans="1:3" x14ac:dyDescent="0.2">
      <c r="A1156" t="str">
        <f>"01935"</f>
        <v>01935</v>
      </c>
      <c r="B1156" t="s">
        <v>1630</v>
      </c>
      <c r="C1156" t="s">
        <v>89</v>
      </c>
    </row>
    <row r="1157" spans="1:3" x14ac:dyDescent="0.2">
      <c r="A1157" t="str">
        <f>"01936"</f>
        <v>01936</v>
      </c>
      <c r="B1157" t="s">
        <v>1631</v>
      </c>
      <c r="C1157" t="s">
        <v>66</v>
      </c>
    </row>
    <row r="1158" spans="1:3" x14ac:dyDescent="0.2">
      <c r="A1158" t="str">
        <f>"01937"</f>
        <v>01937</v>
      </c>
      <c r="B1158" t="s">
        <v>1632</v>
      </c>
      <c r="C1158" t="s">
        <v>162</v>
      </c>
    </row>
    <row r="1159" spans="1:3" x14ac:dyDescent="0.2">
      <c r="A1159" t="str">
        <f>"01938"</f>
        <v>01938</v>
      </c>
      <c r="B1159" t="s">
        <v>1633</v>
      </c>
      <c r="C1159" t="s">
        <v>277</v>
      </c>
    </row>
    <row r="1160" spans="1:3" x14ac:dyDescent="0.2">
      <c r="A1160" t="str">
        <f>"01939"</f>
        <v>01939</v>
      </c>
      <c r="B1160" t="s">
        <v>800</v>
      </c>
      <c r="C1160" t="s">
        <v>89</v>
      </c>
    </row>
    <row r="1161" spans="1:3" x14ac:dyDescent="0.2">
      <c r="A1161" t="str">
        <f>"01940"</f>
        <v>01940</v>
      </c>
      <c r="B1161" t="s">
        <v>1634</v>
      </c>
      <c r="C1161" t="s">
        <v>277</v>
      </c>
    </row>
    <row r="1162" spans="1:3" x14ac:dyDescent="0.2">
      <c r="A1162" t="str">
        <f>"01941"</f>
        <v>01941</v>
      </c>
      <c r="B1162" t="s">
        <v>1635</v>
      </c>
      <c r="C1162" t="s">
        <v>163</v>
      </c>
    </row>
    <row r="1163" spans="1:3" x14ac:dyDescent="0.2">
      <c r="A1163" t="str">
        <f>"01943"</f>
        <v>01943</v>
      </c>
      <c r="B1163" t="s">
        <v>1636</v>
      </c>
      <c r="C1163" t="s">
        <v>162</v>
      </c>
    </row>
    <row r="1164" spans="1:3" x14ac:dyDescent="0.2">
      <c r="A1164" t="str">
        <f>"01945"</f>
        <v>01945</v>
      </c>
      <c r="B1164" t="s">
        <v>1637</v>
      </c>
      <c r="C1164" t="s">
        <v>171</v>
      </c>
    </row>
    <row r="1165" spans="1:3" x14ac:dyDescent="0.2">
      <c r="A1165" t="str">
        <f>"01947"</f>
        <v>01947</v>
      </c>
      <c r="B1165" t="s">
        <v>1638</v>
      </c>
      <c r="C1165" t="s">
        <v>911</v>
      </c>
    </row>
    <row r="1166" spans="1:3" x14ac:dyDescent="0.2">
      <c r="A1166" t="str">
        <f>"01948"</f>
        <v>01948</v>
      </c>
      <c r="B1166" t="s">
        <v>1639</v>
      </c>
      <c r="C1166" t="s">
        <v>97</v>
      </c>
    </row>
    <row r="1167" spans="1:3" x14ac:dyDescent="0.2">
      <c r="A1167" t="str">
        <f>"01951"</f>
        <v>01951</v>
      </c>
      <c r="B1167" t="s">
        <v>642</v>
      </c>
      <c r="C1167" t="s">
        <v>25</v>
      </c>
    </row>
    <row r="1168" spans="1:3" x14ac:dyDescent="0.2">
      <c r="A1168" t="str">
        <f>"01952"</f>
        <v>01952</v>
      </c>
      <c r="B1168" t="s">
        <v>643</v>
      </c>
      <c r="C1168" t="s">
        <v>25</v>
      </c>
    </row>
    <row r="1169" spans="1:3" x14ac:dyDescent="0.2">
      <c r="A1169" t="str">
        <f>"01953"</f>
        <v>01953</v>
      </c>
      <c r="B1169" t="s">
        <v>1640</v>
      </c>
      <c r="C1169" t="s">
        <v>162</v>
      </c>
    </row>
    <row r="1170" spans="1:3" x14ac:dyDescent="0.2">
      <c r="A1170" t="str">
        <f>"01955"</f>
        <v>01955</v>
      </c>
      <c r="B1170" t="s">
        <v>1641</v>
      </c>
      <c r="C1170" t="s">
        <v>89</v>
      </c>
    </row>
    <row r="1171" spans="1:3" x14ac:dyDescent="0.2">
      <c r="A1171" t="str">
        <f>"01957"</f>
        <v>01957</v>
      </c>
      <c r="B1171" t="s">
        <v>1642</v>
      </c>
      <c r="C1171" t="s">
        <v>112</v>
      </c>
    </row>
    <row r="1172" spans="1:3" x14ac:dyDescent="0.2">
      <c r="A1172" t="str">
        <f>"01958"</f>
        <v>01958</v>
      </c>
      <c r="B1172" t="s">
        <v>644</v>
      </c>
      <c r="C1172" t="s">
        <v>127</v>
      </c>
    </row>
    <row r="1173" spans="1:3" x14ac:dyDescent="0.2">
      <c r="A1173" t="str">
        <f>"01959"</f>
        <v>01959</v>
      </c>
      <c r="B1173" t="s">
        <v>1643</v>
      </c>
      <c r="C1173" t="s">
        <v>81</v>
      </c>
    </row>
    <row r="1174" spans="1:3" x14ac:dyDescent="0.2">
      <c r="A1174" t="str">
        <f>"01960"</f>
        <v>01960</v>
      </c>
      <c r="B1174" t="s">
        <v>1644</v>
      </c>
      <c r="C1174" t="s">
        <v>162</v>
      </c>
    </row>
    <row r="1175" spans="1:3" x14ac:dyDescent="0.2">
      <c r="A1175" t="str">
        <f>"01962"</f>
        <v>01962</v>
      </c>
      <c r="B1175" t="s">
        <v>1645</v>
      </c>
      <c r="C1175" t="s">
        <v>112</v>
      </c>
    </row>
    <row r="1176" spans="1:3" x14ac:dyDescent="0.2">
      <c r="A1176" t="str">
        <f>"01963"</f>
        <v>01963</v>
      </c>
      <c r="B1176" t="s">
        <v>645</v>
      </c>
      <c r="C1176" t="s">
        <v>196</v>
      </c>
    </row>
    <row r="1177" spans="1:3" x14ac:dyDescent="0.2">
      <c r="A1177" t="str">
        <f>"01967"</f>
        <v>01967</v>
      </c>
      <c r="B1177" t="s">
        <v>1646</v>
      </c>
      <c r="C1177" t="s">
        <v>233</v>
      </c>
    </row>
    <row r="1178" spans="1:3" x14ac:dyDescent="0.2">
      <c r="A1178" t="str">
        <f>"01968"</f>
        <v>01968</v>
      </c>
      <c r="B1178" t="s">
        <v>1647</v>
      </c>
      <c r="C1178" t="s">
        <v>112</v>
      </c>
    </row>
    <row r="1179" spans="1:3" x14ac:dyDescent="0.2">
      <c r="A1179" t="str">
        <f>"01969"</f>
        <v>01969</v>
      </c>
      <c r="B1179" t="s">
        <v>646</v>
      </c>
      <c r="C1179" t="s">
        <v>89</v>
      </c>
    </row>
    <row r="1180" spans="1:3" x14ac:dyDescent="0.2">
      <c r="A1180" t="str">
        <f>"01970"</f>
        <v>01970</v>
      </c>
      <c r="B1180" t="s">
        <v>1648</v>
      </c>
      <c r="C1180" t="s">
        <v>97</v>
      </c>
    </row>
    <row r="1181" spans="1:3" x14ac:dyDescent="0.2">
      <c r="A1181" t="str">
        <f>"01971"</f>
        <v>01971</v>
      </c>
      <c r="B1181" t="s">
        <v>1649</v>
      </c>
      <c r="C1181" t="s">
        <v>163</v>
      </c>
    </row>
    <row r="1182" spans="1:3" x14ac:dyDescent="0.2">
      <c r="A1182" t="str">
        <f>"01972"</f>
        <v>01972</v>
      </c>
      <c r="B1182" t="s">
        <v>801</v>
      </c>
      <c r="C1182" t="s">
        <v>163</v>
      </c>
    </row>
    <row r="1183" spans="1:3" x14ac:dyDescent="0.2">
      <c r="A1183" t="str">
        <f>"01973"</f>
        <v>01973</v>
      </c>
      <c r="B1183" t="s">
        <v>1650</v>
      </c>
      <c r="C1183" t="s">
        <v>171</v>
      </c>
    </row>
    <row r="1184" spans="1:3" x14ac:dyDescent="0.2">
      <c r="A1184" t="str">
        <f>"01975"</f>
        <v>01975</v>
      </c>
      <c r="B1184" t="s">
        <v>1651</v>
      </c>
      <c r="C1184" t="s">
        <v>217</v>
      </c>
    </row>
    <row r="1185" spans="1:3" x14ac:dyDescent="0.2">
      <c r="A1185" t="str">
        <f>"01977"</f>
        <v>01977</v>
      </c>
      <c r="B1185" t="s">
        <v>1652</v>
      </c>
      <c r="C1185" t="s">
        <v>162</v>
      </c>
    </row>
    <row r="1186" spans="1:3" x14ac:dyDescent="0.2">
      <c r="A1186" t="str">
        <f>"01978"</f>
        <v>01978</v>
      </c>
      <c r="B1186" t="s">
        <v>1653</v>
      </c>
      <c r="C1186" t="s">
        <v>101</v>
      </c>
    </row>
    <row r="1187" spans="1:3" x14ac:dyDescent="0.2">
      <c r="A1187" t="str">
        <f>"01979"</f>
        <v>01979</v>
      </c>
      <c r="B1187" t="s">
        <v>1654</v>
      </c>
      <c r="C1187" t="s">
        <v>233</v>
      </c>
    </row>
    <row r="1188" spans="1:3" x14ac:dyDescent="0.2">
      <c r="A1188" t="str">
        <f>"01980"</f>
        <v>01980</v>
      </c>
      <c r="B1188" t="s">
        <v>1655</v>
      </c>
      <c r="C1188" t="s">
        <v>97</v>
      </c>
    </row>
    <row r="1189" spans="1:3" x14ac:dyDescent="0.2">
      <c r="A1189" t="str">
        <f>"01981"</f>
        <v>01981</v>
      </c>
      <c r="B1189" t="s">
        <v>1656</v>
      </c>
      <c r="C1189" t="s">
        <v>89</v>
      </c>
    </row>
    <row r="1190" spans="1:3" x14ac:dyDescent="0.2">
      <c r="A1190" t="str">
        <f>"01982"</f>
        <v>01982</v>
      </c>
      <c r="B1190" t="s">
        <v>647</v>
      </c>
      <c r="C1190" t="s">
        <v>112</v>
      </c>
    </row>
    <row r="1191" spans="1:3" x14ac:dyDescent="0.2">
      <c r="A1191" t="str">
        <f>"01983"</f>
        <v>01983</v>
      </c>
      <c r="B1191" t="s">
        <v>1657</v>
      </c>
      <c r="C1191" t="s">
        <v>196</v>
      </c>
    </row>
    <row r="1192" spans="1:3" x14ac:dyDescent="0.2">
      <c r="A1192" t="str">
        <f>"01985"</f>
        <v>01985</v>
      </c>
      <c r="B1192" t="s">
        <v>1658</v>
      </c>
      <c r="C1192" t="s">
        <v>137</v>
      </c>
    </row>
    <row r="1193" spans="1:3" x14ac:dyDescent="0.2">
      <c r="A1193" t="str">
        <f>"01986"</f>
        <v>01986</v>
      </c>
      <c r="B1193" t="s">
        <v>1659</v>
      </c>
      <c r="C1193" t="s">
        <v>257</v>
      </c>
    </row>
    <row r="1194" spans="1:3" x14ac:dyDescent="0.2">
      <c r="A1194" t="str">
        <f>"01987"</f>
        <v>01987</v>
      </c>
      <c r="B1194" t="s">
        <v>1660</v>
      </c>
      <c r="C1194" t="s">
        <v>162</v>
      </c>
    </row>
    <row r="1195" spans="1:3" x14ac:dyDescent="0.2">
      <c r="A1195" t="str">
        <f>"01988"</f>
        <v>01988</v>
      </c>
      <c r="B1195" t="s">
        <v>648</v>
      </c>
      <c r="C1195" t="s">
        <v>196</v>
      </c>
    </row>
    <row r="1196" spans="1:3" x14ac:dyDescent="0.2">
      <c r="A1196" t="str">
        <f>"01989"</f>
        <v>01989</v>
      </c>
      <c r="B1196" t="s">
        <v>1661</v>
      </c>
      <c r="C1196" t="s">
        <v>233</v>
      </c>
    </row>
    <row r="1197" spans="1:3" x14ac:dyDescent="0.2">
      <c r="A1197" t="str">
        <f>"01991"</f>
        <v>01991</v>
      </c>
      <c r="B1197" t="s">
        <v>1662</v>
      </c>
      <c r="C1197" t="s">
        <v>97</v>
      </c>
    </row>
    <row r="1198" spans="1:3" x14ac:dyDescent="0.2">
      <c r="A1198" t="str">
        <f>"01993"</f>
        <v>01993</v>
      </c>
      <c r="B1198" t="s">
        <v>1663</v>
      </c>
      <c r="C1198" t="s">
        <v>97</v>
      </c>
    </row>
    <row r="1199" spans="1:3" x14ac:dyDescent="0.2">
      <c r="A1199" t="str">
        <f>"01995"</f>
        <v>01995</v>
      </c>
      <c r="B1199" t="s">
        <v>802</v>
      </c>
      <c r="C1199" t="s">
        <v>163</v>
      </c>
    </row>
    <row r="1200" spans="1:3" x14ac:dyDescent="0.2">
      <c r="A1200" t="str">
        <f>"01997"</f>
        <v>01997</v>
      </c>
      <c r="B1200" t="s">
        <v>649</v>
      </c>
      <c r="C1200" t="s">
        <v>163</v>
      </c>
    </row>
    <row r="1201" spans="1:3" x14ac:dyDescent="0.2">
      <c r="A1201" t="str">
        <f>"01999"</f>
        <v>01999</v>
      </c>
      <c r="B1201" t="s">
        <v>650</v>
      </c>
      <c r="C1201" t="s">
        <v>120</v>
      </c>
    </row>
    <row r="1202" spans="1:3" x14ac:dyDescent="0.2">
      <c r="A1202" t="str">
        <f>"02000"</f>
        <v>02000</v>
      </c>
      <c r="B1202" t="s">
        <v>1664</v>
      </c>
      <c r="C1202" t="s">
        <v>154</v>
      </c>
    </row>
    <row r="1203" spans="1:3" x14ac:dyDescent="0.2">
      <c r="A1203" t="str">
        <f>"02001"</f>
        <v>02001</v>
      </c>
      <c r="B1203" t="s">
        <v>651</v>
      </c>
      <c r="C1203" t="s">
        <v>89</v>
      </c>
    </row>
    <row r="1204" spans="1:3" x14ac:dyDescent="0.2">
      <c r="A1204" t="str">
        <f>"02002"</f>
        <v>02002</v>
      </c>
      <c r="B1204" t="s">
        <v>1665</v>
      </c>
      <c r="C1204" t="s">
        <v>257</v>
      </c>
    </row>
    <row r="1205" spans="1:3" x14ac:dyDescent="0.2">
      <c r="A1205" t="str">
        <f>"02003"</f>
        <v>02003</v>
      </c>
      <c r="B1205" t="s">
        <v>1666</v>
      </c>
      <c r="C1205" t="s">
        <v>171</v>
      </c>
    </row>
    <row r="1206" spans="1:3" x14ac:dyDescent="0.2">
      <c r="A1206" t="str">
        <f>"02005"</f>
        <v>02005</v>
      </c>
      <c r="B1206" t="s">
        <v>652</v>
      </c>
      <c r="C1206" t="s">
        <v>25</v>
      </c>
    </row>
    <row r="1207" spans="1:3" x14ac:dyDescent="0.2">
      <c r="A1207" t="str">
        <f>"02007"</f>
        <v>02007</v>
      </c>
      <c r="B1207" t="s">
        <v>1667</v>
      </c>
      <c r="C1207" t="s">
        <v>163</v>
      </c>
    </row>
    <row r="1208" spans="1:3" x14ac:dyDescent="0.2">
      <c r="A1208" t="str">
        <f>"02008"</f>
        <v>02008</v>
      </c>
      <c r="B1208" t="s">
        <v>1668</v>
      </c>
      <c r="C1208" t="s">
        <v>97</v>
      </c>
    </row>
    <row r="1209" spans="1:3" x14ac:dyDescent="0.2">
      <c r="A1209" t="str">
        <f>"02009"</f>
        <v>02009</v>
      </c>
      <c r="B1209" t="s">
        <v>803</v>
      </c>
      <c r="C1209" t="s">
        <v>162</v>
      </c>
    </row>
    <row r="1210" spans="1:3" x14ac:dyDescent="0.2">
      <c r="A1210" t="str">
        <f>"02011"</f>
        <v>02011</v>
      </c>
      <c r="B1210" t="s">
        <v>1669</v>
      </c>
      <c r="C1210" t="s">
        <v>112</v>
      </c>
    </row>
    <row r="1211" spans="1:3" x14ac:dyDescent="0.2">
      <c r="A1211" t="str">
        <f>"02012"</f>
        <v>02012</v>
      </c>
      <c r="B1211" t="s">
        <v>1670</v>
      </c>
      <c r="C1211" t="s">
        <v>277</v>
      </c>
    </row>
    <row r="1212" spans="1:3" x14ac:dyDescent="0.2">
      <c r="A1212" t="str">
        <f>"02013"</f>
        <v>02013</v>
      </c>
      <c r="B1212" t="s">
        <v>653</v>
      </c>
      <c r="C1212" t="s">
        <v>137</v>
      </c>
    </row>
    <row r="1213" spans="1:3" x14ac:dyDescent="0.2">
      <c r="A1213" t="str">
        <f>"02015"</f>
        <v>02015</v>
      </c>
      <c r="B1213" t="s">
        <v>654</v>
      </c>
      <c r="C1213" t="s">
        <v>127</v>
      </c>
    </row>
    <row r="1214" spans="1:3" x14ac:dyDescent="0.2">
      <c r="A1214" t="str">
        <f>"02016"</f>
        <v>02016</v>
      </c>
      <c r="B1214" t="s">
        <v>655</v>
      </c>
      <c r="C1214" t="s">
        <v>196</v>
      </c>
    </row>
    <row r="1215" spans="1:3" x14ac:dyDescent="0.2">
      <c r="A1215" t="str">
        <f>"02017"</f>
        <v>02017</v>
      </c>
      <c r="B1215" t="s">
        <v>1671</v>
      </c>
      <c r="C1215" t="s">
        <v>162</v>
      </c>
    </row>
    <row r="1216" spans="1:3" x14ac:dyDescent="0.2">
      <c r="A1216" t="str">
        <f>"02018"</f>
        <v>02018</v>
      </c>
      <c r="B1216" t="s">
        <v>656</v>
      </c>
      <c r="C1216" t="s">
        <v>233</v>
      </c>
    </row>
    <row r="1217" spans="1:3" x14ac:dyDescent="0.2">
      <c r="A1217" t="str">
        <f>"02020"</f>
        <v>02020</v>
      </c>
      <c r="B1217" t="s">
        <v>657</v>
      </c>
      <c r="C1217" t="s">
        <v>112</v>
      </c>
    </row>
    <row r="1218" spans="1:3" x14ac:dyDescent="0.2">
      <c r="A1218" t="str">
        <f>"02023"</f>
        <v>02023</v>
      </c>
      <c r="B1218" t="s">
        <v>1672</v>
      </c>
      <c r="C1218" t="s">
        <v>63</v>
      </c>
    </row>
    <row r="1219" spans="1:3" x14ac:dyDescent="0.2">
      <c r="A1219" t="str">
        <f>"02025"</f>
        <v>02025</v>
      </c>
      <c r="B1219" t="s">
        <v>658</v>
      </c>
      <c r="C1219" t="s">
        <v>127</v>
      </c>
    </row>
    <row r="1220" spans="1:3" x14ac:dyDescent="0.2">
      <c r="A1220" t="str">
        <f>"02026"</f>
        <v>02026</v>
      </c>
      <c r="B1220" t="s">
        <v>804</v>
      </c>
      <c r="C1220" t="s">
        <v>137</v>
      </c>
    </row>
    <row r="1221" spans="1:3" x14ac:dyDescent="0.2">
      <c r="A1221" t="str">
        <f>"02028"</f>
        <v>02028</v>
      </c>
      <c r="B1221" t="s">
        <v>1673</v>
      </c>
      <c r="C1221" t="s">
        <v>154</v>
      </c>
    </row>
    <row r="1222" spans="1:3" x14ac:dyDescent="0.2">
      <c r="A1222" t="str">
        <f>"02030"</f>
        <v>02030</v>
      </c>
      <c r="B1222" t="s">
        <v>1674</v>
      </c>
      <c r="C1222" t="s">
        <v>112</v>
      </c>
    </row>
    <row r="1223" spans="1:3" x14ac:dyDescent="0.2">
      <c r="A1223" t="str">
        <f>"02031"</f>
        <v>02031</v>
      </c>
      <c r="B1223" t="s">
        <v>1675</v>
      </c>
      <c r="C1223" t="s">
        <v>911</v>
      </c>
    </row>
    <row r="1224" spans="1:3" x14ac:dyDescent="0.2">
      <c r="A1224" t="str">
        <f>"02033"</f>
        <v>02033</v>
      </c>
      <c r="B1224" t="s">
        <v>1676</v>
      </c>
      <c r="C1224" t="s">
        <v>112</v>
      </c>
    </row>
    <row r="1225" spans="1:3" x14ac:dyDescent="0.2">
      <c r="A1225" t="str">
        <f>"02038"</f>
        <v>02038</v>
      </c>
      <c r="B1225" t="s">
        <v>805</v>
      </c>
      <c r="C1225" t="s">
        <v>154</v>
      </c>
    </row>
    <row r="1226" spans="1:3" x14ac:dyDescent="0.2">
      <c r="A1226" t="str">
        <f>"02039"</f>
        <v>02039</v>
      </c>
      <c r="B1226" t="s">
        <v>659</v>
      </c>
      <c r="C1226" t="s">
        <v>233</v>
      </c>
    </row>
    <row r="1227" spans="1:3" x14ac:dyDescent="0.2">
      <c r="A1227" t="str">
        <f>"02050"</f>
        <v>02050</v>
      </c>
      <c r="B1227" t="s">
        <v>806</v>
      </c>
      <c r="C1227" t="s">
        <v>233</v>
      </c>
    </row>
    <row r="1228" spans="1:3" x14ac:dyDescent="0.2">
      <c r="A1228" t="str">
        <f>"02051"</f>
        <v>02051</v>
      </c>
      <c r="B1228" t="s">
        <v>807</v>
      </c>
      <c r="C1228" t="s">
        <v>171</v>
      </c>
    </row>
    <row r="1229" spans="1:3" x14ac:dyDescent="0.2">
      <c r="A1229" t="str">
        <f>"02057"</f>
        <v>02057</v>
      </c>
      <c r="B1229" t="s">
        <v>660</v>
      </c>
      <c r="C1229" t="s">
        <v>220</v>
      </c>
    </row>
    <row r="1230" spans="1:3" x14ac:dyDescent="0.2">
      <c r="A1230" t="str">
        <f>"02068"</f>
        <v>02068</v>
      </c>
      <c r="B1230" t="s">
        <v>808</v>
      </c>
      <c r="C1230" t="s">
        <v>162</v>
      </c>
    </row>
    <row r="1231" spans="1:3" x14ac:dyDescent="0.2">
      <c r="A1231" t="str">
        <f>"02076"</f>
        <v>02076</v>
      </c>
      <c r="B1231" t="s">
        <v>661</v>
      </c>
      <c r="C1231" t="s">
        <v>89</v>
      </c>
    </row>
    <row r="1232" spans="1:3" x14ac:dyDescent="0.2">
      <c r="A1232" t="str">
        <f>"02078"</f>
        <v>02078</v>
      </c>
      <c r="B1232" t="s">
        <v>1677</v>
      </c>
      <c r="C1232" t="s">
        <v>264</v>
      </c>
    </row>
    <row r="1233" spans="1:3" x14ac:dyDescent="0.2">
      <c r="A1233" t="str">
        <f>"02080"</f>
        <v>02080</v>
      </c>
      <c r="B1233" t="s">
        <v>1678</v>
      </c>
      <c r="C1233" t="s">
        <v>163</v>
      </c>
    </row>
    <row r="1234" spans="1:3" x14ac:dyDescent="0.2">
      <c r="A1234" t="str">
        <f>"02086"</f>
        <v>02086</v>
      </c>
      <c r="B1234" t="s">
        <v>1679</v>
      </c>
      <c r="C1234" t="s">
        <v>154</v>
      </c>
    </row>
    <row r="1235" spans="1:3" x14ac:dyDescent="0.2">
      <c r="A1235" t="str">
        <f>"02096"</f>
        <v>02096</v>
      </c>
      <c r="B1235" t="s">
        <v>662</v>
      </c>
      <c r="C1235" t="s">
        <v>25</v>
      </c>
    </row>
    <row r="1236" spans="1:3" x14ac:dyDescent="0.2">
      <c r="A1236" t="str">
        <f>"02097"</f>
        <v>02097</v>
      </c>
      <c r="B1236" t="s">
        <v>663</v>
      </c>
      <c r="C1236" t="s">
        <v>68</v>
      </c>
    </row>
    <row r="1237" spans="1:3" x14ac:dyDescent="0.2">
      <c r="A1237" t="str">
        <f>"02099"</f>
        <v>02099</v>
      </c>
      <c r="B1237" t="s">
        <v>664</v>
      </c>
      <c r="C1237" t="s">
        <v>264</v>
      </c>
    </row>
    <row r="1238" spans="1:3" x14ac:dyDescent="0.2">
      <c r="A1238" t="str">
        <f>"02100"</f>
        <v>02100</v>
      </c>
      <c r="B1238" t="s">
        <v>1680</v>
      </c>
      <c r="C1238" t="s">
        <v>137</v>
      </c>
    </row>
    <row r="1239" spans="1:3" x14ac:dyDescent="0.2">
      <c r="A1239" t="str">
        <f>"02101"</f>
        <v>02101</v>
      </c>
      <c r="B1239" t="s">
        <v>1681</v>
      </c>
      <c r="C1239" t="s">
        <v>97</v>
      </c>
    </row>
    <row r="1240" spans="1:3" x14ac:dyDescent="0.2">
      <c r="A1240" t="str">
        <f>"02102"</f>
        <v>02102</v>
      </c>
      <c r="B1240" t="s">
        <v>1682</v>
      </c>
      <c r="C1240" t="s">
        <v>233</v>
      </c>
    </row>
    <row r="1241" spans="1:3" x14ac:dyDescent="0.2">
      <c r="A1241" t="str">
        <f>"02105"</f>
        <v>02105</v>
      </c>
      <c r="B1241" t="s">
        <v>665</v>
      </c>
      <c r="C1241" t="s">
        <v>25</v>
      </c>
    </row>
    <row r="1242" spans="1:3" x14ac:dyDescent="0.2">
      <c r="A1242" t="str">
        <f>"02107"</f>
        <v>02107</v>
      </c>
      <c r="B1242" t="s">
        <v>1683</v>
      </c>
      <c r="C1242" t="s">
        <v>163</v>
      </c>
    </row>
    <row r="1243" spans="1:3" x14ac:dyDescent="0.2">
      <c r="A1243" t="str">
        <f>"02108"</f>
        <v>02108</v>
      </c>
      <c r="B1243" t="s">
        <v>1684</v>
      </c>
      <c r="C1243" t="s">
        <v>101</v>
      </c>
    </row>
    <row r="1244" spans="1:3" x14ac:dyDescent="0.2">
      <c r="A1244" t="str">
        <f>"02111"</f>
        <v>02111</v>
      </c>
      <c r="B1244" t="s">
        <v>666</v>
      </c>
      <c r="C1244" t="s">
        <v>112</v>
      </c>
    </row>
    <row r="1245" spans="1:3" x14ac:dyDescent="0.2">
      <c r="A1245" t="str">
        <f>"02116"</f>
        <v>02116</v>
      </c>
      <c r="B1245" t="s">
        <v>1685</v>
      </c>
      <c r="C1245" t="s">
        <v>257</v>
      </c>
    </row>
    <row r="1246" spans="1:3" x14ac:dyDescent="0.2">
      <c r="A1246" t="str">
        <f>"02119"</f>
        <v>02119</v>
      </c>
      <c r="B1246" t="s">
        <v>1686</v>
      </c>
      <c r="C1246" t="s">
        <v>68</v>
      </c>
    </row>
    <row r="1247" spans="1:3" x14ac:dyDescent="0.2">
      <c r="A1247" t="str">
        <f>"02120"</f>
        <v>02120</v>
      </c>
      <c r="B1247" t="s">
        <v>1687</v>
      </c>
      <c r="C1247" t="s">
        <v>911</v>
      </c>
    </row>
    <row r="1248" spans="1:3" x14ac:dyDescent="0.2">
      <c r="A1248" t="str">
        <f>"02121"</f>
        <v>02121</v>
      </c>
      <c r="B1248" t="s">
        <v>667</v>
      </c>
      <c r="C1248" t="s">
        <v>137</v>
      </c>
    </row>
    <row r="1249" spans="1:3" x14ac:dyDescent="0.2">
      <c r="A1249" t="str">
        <f>"02122"</f>
        <v>02122</v>
      </c>
      <c r="B1249" t="s">
        <v>1688</v>
      </c>
      <c r="C1249" t="s">
        <v>81</v>
      </c>
    </row>
    <row r="1250" spans="1:3" x14ac:dyDescent="0.2">
      <c r="A1250" t="str">
        <f>"02125"</f>
        <v>02125</v>
      </c>
      <c r="B1250" t="s">
        <v>1689</v>
      </c>
      <c r="C1250" t="s">
        <v>97</v>
      </c>
    </row>
    <row r="1251" spans="1:3" x14ac:dyDescent="0.2">
      <c r="A1251" t="str">
        <f>"02126"</f>
        <v>02126</v>
      </c>
      <c r="B1251" t="s">
        <v>668</v>
      </c>
      <c r="C1251" t="s">
        <v>25</v>
      </c>
    </row>
    <row r="1252" spans="1:3" x14ac:dyDescent="0.2">
      <c r="A1252" t="str">
        <f>"02128"</f>
        <v>02128</v>
      </c>
      <c r="B1252" t="s">
        <v>669</v>
      </c>
      <c r="C1252" t="s">
        <v>162</v>
      </c>
    </row>
    <row r="1253" spans="1:3" x14ac:dyDescent="0.2">
      <c r="A1253" t="str">
        <f>"02129"</f>
        <v>02129</v>
      </c>
      <c r="B1253" t="s">
        <v>1690</v>
      </c>
      <c r="C1253" t="s">
        <v>220</v>
      </c>
    </row>
    <row r="1254" spans="1:3" x14ac:dyDescent="0.2">
      <c r="A1254" t="str">
        <f>"02130"</f>
        <v>02130</v>
      </c>
      <c r="B1254" t="s">
        <v>1691</v>
      </c>
      <c r="C1254" t="s">
        <v>220</v>
      </c>
    </row>
    <row r="1255" spans="1:3" x14ac:dyDescent="0.2">
      <c r="A1255" t="str">
        <f>"02131"</f>
        <v>02131</v>
      </c>
      <c r="B1255" t="s">
        <v>1692</v>
      </c>
      <c r="C1255" t="s">
        <v>97</v>
      </c>
    </row>
    <row r="1256" spans="1:3" x14ac:dyDescent="0.2">
      <c r="A1256" t="str">
        <f>"02132"</f>
        <v>02132</v>
      </c>
      <c r="B1256" t="s">
        <v>1693</v>
      </c>
      <c r="C1256" t="s">
        <v>162</v>
      </c>
    </row>
    <row r="1257" spans="1:3" x14ac:dyDescent="0.2">
      <c r="A1257" t="str">
        <f>"02136"</f>
        <v>02136</v>
      </c>
      <c r="B1257" t="s">
        <v>1694</v>
      </c>
      <c r="C1257" t="s">
        <v>81</v>
      </c>
    </row>
    <row r="1258" spans="1:3" x14ac:dyDescent="0.2">
      <c r="A1258" t="str">
        <f>"02137"</f>
        <v>02137</v>
      </c>
      <c r="B1258" t="s">
        <v>670</v>
      </c>
      <c r="C1258" t="s">
        <v>25</v>
      </c>
    </row>
    <row r="1259" spans="1:3" x14ac:dyDescent="0.2">
      <c r="A1259" t="str">
        <f>"02138"</f>
        <v>02138</v>
      </c>
      <c r="B1259" t="s">
        <v>1695</v>
      </c>
      <c r="C1259" t="s">
        <v>911</v>
      </c>
    </row>
    <row r="1260" spans="1:3" x14ac:dyDescent="0.2">
      <c r="A1260" t="str">
        <f>"02139"</f>
        <v>02139</v>
      </c>
      <c r="B1260" t="s">
        <v>1696</v>
      </c>
      <c r="C1260" t="s">
        <v>196</v>
      </c>
    </row>
    <row r="1261" spans="1:3" x14ac:dyDescent="0.2">
      <c r="A1261" t="str">
        <f>"02142"</f>
        <v>02142</v>
      </c>
      <c r="B1261" t="s">
        <v>671</v>
      </c>
      <c r="C1261" t="s">
        <v>25</v>
      </c>
    </row>
    <row r="1262" spans="1:3" x14ac:dyDescent="0.2">
      <c r="A1262" t="str">
        <f>"02145"</f>
        <v>02145</v>
      </c>
      <c r="B1262" t="s">
        <v>672</v>
      </c>
      <c r="C1262" t="s">
        <v>911</v>
      </c>
    </row>
    <row r="1263" spans="1:3" x14ac:dyDescent="0.2">
      <c r="A1263" t="str">
        <f>"02146"</f>
        <v>02146</v>
      </c>
      <c r="B1263" t="s">
        <v>1697</v>
      </c>
      <c r="C1263" t="s">
        <v>163</v>
      </c>
    </row>
    <row r="1264" spans="1:3" x14ac:dyDescent="0.2">
      <c r="A1264" t="str">
        <f>"02149"</f>
        <v>02149</v>
      </c>
      <c r="B1264" t="s">
        <v>1698</v>
      </c>
      <c r="C1264" t="s">
        <v>135</v>
      </c>
    </row>
    <row r="1265" spans="1:3" x14ac:dyDescent="0.2">
      <c r="A1265" t="str">
        <f>"02150"</f>
        <v>02150</v>
      </c>
      <c r="B1265" t="s">
        <v>673</v>
      </c>
      <c r="C1265" t="s">
        <v>101</v>
      </c>
    </row>
    <row r="1266" spans="1:3" x14ac:dyDescent="0.2">
      <c r="A1266" t="str">
        <f>"02152"</f>
        <v>02152</v>
      </c>
      <c r="B1266" t="s">
        <v>1699</v>
      </c>
      <c r="C1266" t="s">
        <v>163</v>
      </c>
    </row>
    <row r="1267" spans="1:3" x14ac:dyDescent="0.2">
      <c r="A1267" t="str">
        <f>"02153"</f>
        <v>02153</v>
      </c>
      <c r="B1267" t="s">
        <v>1700</v>
      </c>
      <c r="C1267" t="s">
        <v>233</v>
      </c>
    </row>
    <row r="1268" spans="1:3" x14ac:dyDescent="0.2">
      <c r="A1268" t="str">
        <f>"02155"</f>
        <v>02155</v>
      </c>
      <c r="B1268" t="s">
        <v>674</v>
      </c>
      <c r="C1268" t="s">
        <v>233</v>
      </c>
    </row>
    <row r="1269" spans="1:3" x14ac:dyDescent="0.2">
      <c r="A1269" t="str">
        <f>"02156"</f>
        <v>02156</v>
      </c>
      <c r="B1269" t="s">
        <v>1701</v>
      </c>
      <c r="C1269" t="s">
        <v>163</v>
      </c>
    </row>
    <row r="1270" spans="1:3" x14ac:dyDescent="0.2">
      <c r="A1270" t="str">
        <f>"02157"</f>
        <v>02157</v>
      </c>
      <c r="B1270" t="s">
        <v>1702</v>
      </c>
      <c r="C1270" t="s">
        <v>25</v>
      </c>
    </row>
    <row r="1271" spans="1:3" x14ac:dyDescent="0.2">
      <c r="A1271" t="str">
        <f>"02158"</f>
        <v>02158</v>
      </c>
      <c r="B1271" t="s">
        <v>675</v>
      </c>
      <c r="C1271" t="s">
        <v>911</v>
      </c>
    </row>
    <row r="1272" spans="1:3" x14ac:dyDescent="0.2">
      <c r="A1272" t="str">
        <f>"02159"</f>
        <v>02159</v>
      </c>
      <c r="B1272" t="s">
        <v>1703</v>
      </c>
      <c r="C1272" t="s">
        <v>911</v>
      </c>
    </row>
    <row r="1273" spans="1:3" x14ac:dyDescent="0.2">
      <c r="A1273" t="str">
        <f>"02160"</f>
        <v>02160</v>
      </c>
      <c r="B1273" t="s">
        <v>1704</v>
      </c>
      <c r="C1273" t="s">
        <v>911</v>
      </c>
    </row>
    <row r="1274" spans="1:3" x14ac:dyDescent="0.2">
      <c r="A1274" t="str">
        <f>"02161"</f>
        <v>02161</v>
      </c>
      <c r="B1274" t="s">
        <v>34</v>
      </c>
      <c r="C1274" t="s">
        <v>25</v>
      </c>
    </row>
    <row r="1275" spans="1:3" x14ac:dyDescent="0.2">
      <c r="A1275" t="str">
        <f>"02162"</f>
        <v>02162</v>
      </c>
      <c r="B1275" t="s">
        <v>62</v>
      </c>
      <c r="C1275" t="s">
        <v>25</v>
      </c>
    </row>
    <row r="1276" spans="1:3" x14ac:dyDescent="0.2">
      <c r="A1276" t="str">
        <f>"02163"</f>
        <v>02163</v>
      </c>
      <c r="B1276" t="s">
        <v>1705</v>
      </c>
      <c r="C1276" t="s">
        <v>162</v>
      </c>
    </row>
    <row r="1277" spans="1:3" x14ac:dyDescent="0.2">
      <c r="A1277" t="str">
        <f>"02165"</f>
        <v>02165</v>
      </c>
      <c r="B1277" t="s">
        <v>1706</v>
      </c>
      <c r="C1277" t="s">
        <v>163</v>
      </c>
    </row>
    <row r="1278" spans="1:3" x14ac:dyDescent="0.2">
      <c r="A1278" t="str">
        <f>"02166"</f>
        <v>02166</v>
      </c>
      <c r="B1278" t="s">
        <v>1707</v>
      </c>
      <c r="C1278" t="s">
        <v>135</v>
      </c>
    </row>
    <row r="1279" spans="1:3" x14ac:dyDescent="0.2">
      <c r="A1279" t="str">
        <f>"02167"</f>
        <v>02167</v>
      </c>
      <c r="B1279" t="s">
        <v>1708</v>
      </c>
      <c r="C1279" t="s">
        <v>137</v>
      </c>
    </row>
    <row r="1280" spans="1:3" x14ac:dyDescent="0.2">
      <c r="A1280" t="str">
        <f>"02168"</f>
        <v>02168</v>
      </c>
      <c r="B1280" t="s">
        <v>1709</v>
      </c>
      <c r="C1280" t="s">
        <v>163</v>
      </c>
    </row>
    <row r="1281" spans="1:3" x14ac:dyDescent="0.2">
      <c r="A1281" t="str">
        <f>"02169"</f>
        <v>02169</v>
      </c>
      <c r="B1281" t="s">
        <v>232</v>
      </c>
      <c r="C1281" t="s">
        <v>220</v>
      </c>
    </row>
    <row r="1282" spans="1:3" x14ac:dyDescent="0.2">
      <c r="A1282" t="str">
        <f>"02170"</f>
        <v>02170</v>
      </c>
      <c r="B1282" t="s">
        <v>1710</v>
      </c>
      <c r="C1282" t="s">
        <v>25</v>
      </c>
    </row>
    <row r="1283" spans="1:3" x14ac:dyDescent="0.2">
      <c r="A1283" t="str">
        <f>"02171"</f>
        <v>02171</v>
      </c>
      <c r="B1283" t="s">
        <v>61</v>
      </c>
      <c r="C1283" t="s">
        <v>25</v>
      </c>
    </row>
    <row r="1284" spans="1:3" x14ac:dyDescent="0.2">
      <c r="A1284" t="str">
        <f>"02172"</f>
        <v>02172</v>
      </c>
      <c r="B1284" t="s">
        <v>24</v>
      </c>
      <c r="C1284" t="s">
        <v>911</v>
      </c>
    </row>
    <row r="1285" spans="1:3" x14ac:dyDescent="0.2">
      <c r="A1285" t="str">
        <f>"02175"</f>
        <v>02175</v>
      </c>
      <c r="B1285" t="s">
        <v>93</v>
      </c>
      <c r="C1285" t="s">
        <v>89</v>
      </c>
    </row>
    <row r="1286" spans="1:3" x14ac:dyDescent="0.2">
      <c r="A1286" t="str">
        <f>"02176"</f>
        <v>02176</v>
      </c>
      <c r="B1286" t="s">
        <v>1711</v>
      </c>
      <c r="C1286" t="s">
        <v>89</v>
      </c>
    </row>
    <row r="1287" spans="1:3" x14ac:dyDescent="0.2">
      <c r="A1287" t="str">
        <f>"02177"</f>
        <v>02177</v>
      </c>
      <c r="B1287" t="s">
        <v>1712</v>
      </c>
      <c r="C1287" t="s">
        <v>81</v>
      </c>
    </row>
    <row r="1288" spans="1:3" x14ac:dyDescent="0.2">
      <c r="A1288" t="str">
        <f>"02178"</f>
        <v>02178</v>
      </c>
      <c r="B1288" t="s">
        <v>1713</v>
      </c>
      <c r="C1288" t="s">
        <v>277</v>
      </c>
    </row>
    <row r="1289" spans="1:3" x14ac:dyDescent="0.2">
      <c r="A1289" t="str">
        <f>"02179"</f>
        <v>02179</v>
      </c>
      <c r="B1289" t="s">
        <v>1714</v>
      </c>
      <c r="C1289" t="s">
        <v>25</v>
      </c>
    </row>
    <row r="1290" spans="1:3" x14ac:dyDescent="0.2">
      <c r="A1290" t="str">
        <f>"02180"</f>
        <v>02180</v>
      </c>
      <c r="B1290" t="s">
        <v>1715</v>
      </c>
      <c r="C1290" t="s">
        <v>89</v>
      </c>
    </row>
    <row r="1291" spans="1:3" x14ac:dyDescent="0.2">
      <c r="A1291" t="str">
        <f>"02181"</f>
        <v>02181</v>
      </c>
      <c r="B1291" t="s">
        <v>1716</v>
      </c>
      <c r="C1291" t="s">
        <v>25</v>
      </c>
    </row>
    <row r="1292" spans="1:3" x14ac:dyDescent="0.2">
      <c r="A1292" t="str">
        <f>"02182"</f>
        <v>02182</v>
      </c>
      <c r="B1292" t="s">
        <v>1717</v>
      </c>
      <c r="C1292" t="s">
        <v>233</v>
      </c>
    </row>
    <row r="1293" spans="1:3" x14ac:dyDescent="0.2">
      <c r="A1293" t="str">
        <f>"02185"</f>
        <v>02185</v>
      </c>
      <c r="B1293" t="s">
        <v>1718</v>
      </c>
      <c r="C1293" t="s">
        <v>911</v>
      </c>
    </row>
    <row r="1294" spans="1:3" x14ac:dyDescent="0.2">
      <c r="A1294" t="str">
        <f>"02186"</f>
        <v>02186</v>
      </c>
      <c r="B1294" t="s">
        <v>60</v>
      </c>
      <c r="C1294" t="s">
        <v>25</v>
      </c>
    </row>
    <row r="1295" spans="1:3" x14ac:dyDescent="0.2">
      <c r="A1295" t="str">
        <f>"02187"</f>
        <v>02187</v>
      </c>
      <c r="B1295" t="s">
        <v>1719</v>
      </c>
      <c r="C1295" t="s">
        <v>162</v>
      </c>
    </row>
    <row r="1296" spans="1:3" x14ac:dyDescent="0.2">
      <c r="A1296" t="str">
        <f>"02188"</f>
        <v>02188</v>
      </c>
      <c r="B1296" t="s">
        <v>1720</v>
      </c>
      <c r="C1296" t="s">
        <v>233</v>
      </c>
    </row>
    <row r="1297" spans="1:3" x14ac:dyDescent="0.2">
      <c r="A1297" t="str">
        <f>"02189"</f>
        <v>02189</v>
      </c>
      <c r="B1297" t="s">
        <v>1721</v>
      </c>
      <c r="C1297" t="s">
        <v>89</v>
      </c>
    </row>
    <row r="1298" spans="1:3" x14ac:dyDescent="0.2">
      <c r="A1298" t="str">
        <f>"02190"</f>
        <v>02190</v>
      </c>
      <c r="B1298" t="s">
        <v>9</v>
      </c>
      <c r="C1298" t="s">
        <v>911</v>
      </c>
    </row>
    <row r="1299" spans="1:3" x14ac:dyDescent="0.2">
      <c r="A1299" t="str">
        <f>"02192"</f>
        <v>02192</v>
      </c>
      <c r="B1299" t="s">
        <v>23</v>
      </c>
      <c r="C1299" t="s">
        <v>911</v>
      </c>
    </row>
    <row r="1300" spans="1:3" x14ac:dyDescent="0.2">
      <c r="A1300" t="str">
        <f>"02193"</f>
        <v>02193</v>
      </c>
      <c r="B1300" t="s">
        <v>1722</v>
      </c>
      <c r="C1300" t="s">
        <v>162</v>
      </c>
    </row>
    <row r="1301" spans="1:3" x14ac:dyDescent="0.2">
      <c r="A1301" t="str">
        <f>"02196"</f>
        <v>02196</v>
      </c>
      <c r="B1301" t="s">
        <v>59</v>
      </c>
      <c r="C1301" t="s">
        <v>25</v>
      </c>
    </row>
    <row r="1302" spans="1:3" x14ac:dyDescent="0.2">
      <c r="A1302" t="str">
        <f>"02197"</f>
        <v>02197</v>
      </c>
      <c r="B1302" t="s">
        <v>809</v>
      </c>
      <c r="C1302" t="s">
        <v>25</v>
      </c>
    </row>
    <row r="1303" spans="1:3" x14ac:dyDescent="0.2">
      <c r="A1303" t="str">
        <f>"02198"</f>
        <v>02198</v>
      </c>
      <c r="B1303" t="s">
        <v>259</v>
      </c>
      <c r="C1303" t="s">
        <v>257</v>
      </c>
    </row>
    <row r="1304" spans="1:3" x14ac:dyDescent="0.2">
      <c r="A1304" t="str">
        <f>"02199"</f>
        <v>02199</v>
      </c>
      <c r="B1304" t="s">
        <v>1723</v>
      </c>
      <c r="C1304" t="s">
        <v>112</v>
      </c>
    </row>
    <row r="1305" spans="1:3" x14ac:dyDescent="0.2">
      <c r="A1305" t="str">
        <f>"02202"</f>
        <v>02202</v>
      </c>
      <c r="B1305" t="s">
        <v>810</v>
      </c>
      <c r="C1305" t="s">
        <v>163</v>
      </c>
    </row>
    <row r="1306" spans="1:3" x14ac:dyDescent="0.2">
      <c r="A1306" t="str">
        <f>"02203"</f>
        <v>02203</v>
      </c>
      <c r="B1306" t="s">
        <v>1724</v>
      </c>
      <c r="C1306" t="s">
        <v>135</v>
      </c>
    </row>
    <row r="1307" spans="1:3" x14ac:dyDescent="0.2">
      <c r="A1307" t="str">
        <f>"02205"</f>
        <v>02205</v>
      </c>
      <c r="B1307" t="s">
        <v>1725</v>
      </c>
      <c r="C1307" t="s">
        <v>163</v>
      </c>
    </row>
    <row r="1308" spans="1:3" x14ac:dyDescent="0.2">
      <c r="A1308" t="str">
        <f>"02208"</f>
        <v>02208</v>
      </c>
      <c r="B1308" t="s">
        <v>256</v>
      </c>
      <c r="C1308" t="s">
        <v>233</v>
      </c>
    </row>
    <row r="1309" spans="1:3" x14ac:dyDescent="0.2">
      <c r="A1309" t="str">
        <f>"02209"</f>
        <v>02209</v>
      </c>
      <c r="B1309" t="s">
        <v>82</v>
      </c>
      <c r="C1309" t="s">
        <v>81</v>
      </c>
    </row>
    <row r="1310" spans="1:3" x14ac:dyDescent="0.2">
      <c r="A1310" t="str">
        <f>"02212"</f>
        <v>02212</v>
      </c>
      <c r="B1310" t="s">
        <v>1726</v>
      </c>
      <c r="C1310" t="s">
        <v>264</v>
      </c>
    </row>
    <row r="1311" spans="1:3" x14ac:dyDescent="0.2">
      <c r="A1311" t="str">
        <f>"02215"</f>
        <v>02215</v>
      </c>
      <c r="B1311" t="s">
        <v>1727</v>
      </c>
      <c r="C1311" t="s">
        <v>163</v>
      </c>
    </row>
    <row r="1312" spans="1:3" x14ac:dyDescent="0.2">
      <c r="A1312" t="str">
        <f>"02216"</f>
        <v>02216</v>
      </c>
      <c r="B1312" t="s">
        <v>1728</v>
      </c>
      <c r="C1312" t="s">
        <v>911</v>
      </c>
    </row>
    <row r="1313" spans="1:3" x14ac:dyDescent="0.2">
      <c r="A1313" t="str">
        <f>"02218"</f>
        <v>02218</v>
      </c>
      <c r="B1313" t="s">
        <v>80</v>
      </c>
      <c r="C1313" t="s">
        <v>68</v>
      </c>
    </row>
    <row r="1314" spans="1:3" x14ac:dyDescent="0.2">
      <c r="A1314" t="str">
        <f>"02219"</f>
        <v>02219</v>
      </c>
      <c r="B1314" t="s">
        <v>8</v>
      </c>
      <c r="C1314" t="s">
        <v>911</v>
      </c>
    </row>
    <row r="1315" spans="1:3" x14ac:dyDescent="0.2">
      <c r="A1315" t="str">
        <f>"02221"</f>
        <v>02221</v>
      </c>
      <c r="B1315" t="s">
        <v>1729</v>
      </c>
      <c r="C1315" t="s">
        <v>162</v>
      </c>
    </row>
    <row r="1316" spans="1:3" x14ac:dyDescent="0.2">
      <c r="A1316" t="str">
        <f>"02222"</f>
        <v>02222</v>
      </c>
      <c r="B1316" t="s">
        <v>1730</v>
      </c>
      <c r="C1316" t="s">
        <v>120</v>
      </c>
    </row>
    <row r="1317" spans="1:3" x14ac:dyDescent="0.2">
      <c r="A1317" t="str">
        <f>"02223"</f>
        <v>02223</v>
      </c>
      <c r="B1317" t="s">
        <v>1731</v>
      </c>
      <c r="C1317" t="s">
        <v>120</v>
      </c>
    </row>
    <row r="1318" spans="1:3" x14ac:dyDescent="0.2">
      <c r="A1318" t="str">
        <f>"02225"</f>
        <v>02225</v>
      </c>
      <c r="B1318" t="s">
        <v>92</v>
      </c>
      <c r="C1318" t="s">
        <v>911</v>
      </c>
    </row>
    <row r="1319" spans="1:3" x14ac:dyDescent="0.2">
      <c r="A1319" t="str">
        <f>"02226"</f>
        <v>02226</v>
      </c>
      <c r="B1319" t="s">
        <v>1732</v>
      </c>
      <c r="C1319" t="s">
        <v>68</v>
      </c>
    </row>
    <row r="1320" spans="1:3" x14ac:dyDescent="0.2">
      <c r="A1320" t="str">
        <f>"02227"</f>
        <v>02227</v>
      </c>
      <c r="B1320" t="s">
        <v>1733</v>
      </c>
      <c r="C1320" t="s">
        <v>162</v>
      </c>
    </row>
    <row r="1321" spans="1:3" x14ac:dyDescent="0.2">
      <c r="A1321" t="str">
        <f>"02228"</f>
        <v>02228</v>
      </c>
      <c r="B1321" t="s">
        <v>58</v>
      </c>
      <c r="C1321" t="s">
        <v>25</v>
      </c>
    </row>
    <row r="1322" spans="1:3" x14ac:dyDescent="0.2">
      <c r="A1322" t="str">
        <f>"02230"</f>
        <v>02230</v>
      </c>
      <c r="B1322" t="s">
        <v>1734</v>
      </c>
      <c r="C1322" t="s">
        <v>97</v>
      </c>
    </row>
    <row r="1323" spans="1:3" x14ac:dyDescent="0.2">
      <c r="A1323" t="str">
        <f>"02232"</f>
        <v>02232</v>
      </c>
      <c r="B1323" t="s">
        <v>119</v>
      </c>
      <c r="C1323" t="s">
        <v>112</v>
      </c>
    </row>
    <row r="1324" spans="1:3" x14ac:dyDescent="0.2">
      <c r="A1324" t="str">
        <f>"02233"</f>
        <v>02233</v>
      </c>
      <c r="B1324" t="s">
        <v>811</v>
      </c>
      <c r="C1324" t="s">
        <v>162</v>
      </c>
    </row>
    <row r="1325" spans="1:3" x14ac:dyDescent="0.2">
      <c r="A1325" t="str">
        <f>"02235"</f>
        <v>02235</v>
      </c>
      <c r="B1325" t="s">
        <v>7</v>
      </c>
      <c r="C1325" t="s">
        <v>911</v>
      </c>
    </row>
    <row r="1326" spans="1:3" x14ac:dyDescent="0.2">
      <c r="A1326" t="str">
        <f>"02236"</f>
        <v>02236</v>
      </c>
      <c r="B1326" t="s">
        <v>1735</v>
      </c>
      <c r="C1326" t="s">
        <v>277</v>
      </c>
    </row>
    <row r="1327" spans="1:3" x14ac:dyDescent="0.2">
      <c r="A1327" t="str">
        <f>"02237"</f>
        <v>02237</v>
      </c>
      <c r="B1327" t="s">
        <v>1736</v>
      </c>
      <c r="C1327" t="s">
        <v>264</v>
      </c>
    </row>
    <row r="1328" spans="1:3" x14ac:dyDescent="0.2">
      <c r="A1328" t="str">
        <f>"02238"</f>
        <v>02238</v>
      </c>
      <c r="B1328" t="s">
        <v>133</v>
      </c>
      <c r="C1328" t="s">
        <v>127</v>
      </c>
    </row>
    <row r="1329" spans="1:3" x14ac:dyDescent="0.2">
      <c r="A1329" t="str">
        <f>"02239"</f>
        <v>02239</v>
      </c>
      <c r="B1329" t="s">
        <v>1737</v>
      </c>
      <c r="C1329" t="s">
        <v>154</v>
      </c>
    </row>
    <row r="1330" spans="1:3" x14ac:dyDescent="0.2">
      <c r="A1330" t="str">
        <f>"02245"</f>
        <v>02245</v>
      </c>
      <c r="B1330" t="s">
        <v>267</v>
      </c>
      <c r="C1330" t="s">
        <v>264</v>
      </c>
    </row>
    <row r="1331" spans="1:3" x14ac:dyDescent="0.2">
      <c r="A1331" t="str">
        <f>"02250"</f>
        <v>02250</v>
      </c>
      <c r="B1331" t="s">
        <v>1738</v>
      </c>
      <c r="C1331" t="s">
        <v>97</v>
      </c>
    </row>
    <row r="1332" spans="1:3" x14ac:dyDescent="0.2">
      <c r="A1332" t="str">
        <f>"02251"</f>
        <v>02251</v>
      </c>
      <c r="B1332" t="s">
        <v>1739</v>
      </c>
      <c r="C1332" t="s">
        <v>911</v>
      </c>
    </row>
    <row r="1333" spans="1:3" x14ac:dyDescent="0.2">
      <c r="A1333" t="str">
        <f>"02252"</f>
        <v>02252</v>
      </c>
      <c r="B1333" t="s">
        <v>22</v>
      </c>
      <c r="C1333" t="s">
        <v>911</v>
      </c>
    </row>
    <row r="1334" spans="1:3" x14ac:dyDescent="0.2">
      <c r="A1334" t="str">
        <f>"02255"</f>
        <v>02255</v>
      </c>
      <c r="B1334" t="s">
        <v>111</v>
      </c>
      <c r="C1334" t="s">
        <v>101</v>
      </c>
    </row>
    <row r="1335" spans="1:3" x14ac:dyDescent="0.2">
      <c r="A1335" t="str">
        <f>"02256"</f>
        <v>02256</v>
      </c>
      <c r="B1335" t="s">
        <v>33</v>
      </c>
      <c r="C1335" t="s">
        <v>25</v>
      </c>
    </row>
    <row r="1336" spans="1:3" x14ac:dyDescent="0.2">
      <c r="A1336" t="str">
        <f>"02257"</f>
        <v>02257</v>
      </c>
      <c r="B1336" t="s">
        <v>812</v>
      </c>
      <c r="C1336" t="s">
        <v>25</v>
      </c>
    </row>
    <row r="1337" spans="1:3" x14ac:dyDescent="0.2">
      <c r="A1337" t="str">
        <f>"02258"</f>
        <v>02258</v>
      </c>
      <c r="B1337" t="s">
        <v>1740</v>
      </c>
      <c r="C1337" t="s">
        <v>162</v>
      </c>
    </row>
    <row r="1338" spans="1:3" x14ac:dyDescent="0.2">
      <c r="A1338" t="str">
        <f>"02259"</f>
        <v>02259</v>
      </c>
      <c r="B1338" t="s">
        <v>813</v>
      </c>
      <c r="C1338" t="s">
        <v>272</v>
      </c>
    </row>
    <row r="1339" spans="1:3" x14ac:dyDescent="0.2">
      <c r="A1339" t="str">
        <f>"02260"</f>
        <v>02260</v>
      </c>
      <c r="B1339" t="s">
        <v>1741</v>
      </c>
      <c r="C1339" t="s">
        <v>233</v>
      </c>
    </row>
    <row r="1340" spans="1:3" x14ac:dyDescent="0.2">
      <c r="A1340" t="str">
        <f>"02262"</f>
        <v>02262</v>
      </c>
      <c r="B1340" t="s">
        <v>1742</v>
      </c>
      <c r="C1340" t="s">
        <v>162</v>
      </c>
    </row>
    <row r="1341" spans="1:3" x14ac:dyDescent="0.2">
      <c r="A1341" t="str">
        <f>"02263"</f>
        <v>02263</v>
      </c>
      <c r="B1341" t="s">
        <v>1743</v>
      </c>
      <c r="C1341" t="s">
        <v>171</v>
      </c>
    </row>
    <row r="1342" spans="1:3" x14ac:dyDescent="0.2">
      <c r="A1342" t="str">
        <f>"02265"</f>
        <v>02265</v>
      </c>
      <c r="B1342" t="s">
        <v>1744</v>
      </c>
      <c r="C1342" t="s">
        <v>233</v>
      </c>
    </row>
    <row r="1343" spans="1:3" x14ac:dyDescent="0.2">
      <c r="A1343" t="str">
        <f>"02266"</f>
        <v>02266</v>
      </c>
      <c r="B1343" t="s">
        <v>1745</v>
      </c>
      <c r="C1343" t="s">
        <v>162</v>
      </c>
    </row>
    <row r="1344" spans="1:3" x14ac:dyDescent="0.2">
      <c r="A1344" t="str">
        <f>"02268"</f>
        <v>02268</v>
      </c>
      <c r="B1344" t="s">
        <v>57</v>
      </c>
      <c r="C1344" t="s">
        <v>25</v>
      </c>
    </row>
    <row r="1345" spans="1:3" x14ac:dyDescent="0.2">
      <c r="A1345" t="str">
        <f>"02269"</f>
        <v>02269</v>
      </c>
      <c r="B1345" t="s">
        <v>56</v>
      </c>
      <c r="C1345" t="s">
        <v>25</v>
      </c>
    </row>
    <row r="1346" spans="1:3" x14ac:dyDescent="0.2">
      <c r="A1346" t="str">
        <f>"02270"</f>
        <v>02270</v>
      </c>
      <c r="B1346" t="s">
        <v>1746</v>
      </c>
      <c r="C1346" t="s">
        <v>163</v>
      </c>
    </row>
    <row r="1347" spans="1:3" x14ac:dyDescent="0.2">
      <c r="A1347" t="str">
        <f>"02271"</f>
        <v>02271</v>
      </c>
      <c r="B1347" t="s">
        <v>1747</v>
      </c>
      <c r="C1347" t="s">
        <v>163</v>
      </c>
    </row>
    <row r="1348" spans="1:3" x14ac:dyDescent="0.2">
      <c r="A1348" t="str">
        <f>"02273"</f>
        <v>02273</v>
      </c>
      <c r="B1348" t="s">
        <v>21</v>
      </c>
      <c r="C1348" t="s">
        <v>911</v>
      </c>
    </row>
    <row r="1349" spans="1:3" x14ac:dyDescent="0.2">
      <c r="A1349" t="str">
        <f>"02276"</f>
        <v>02276</v>
      </c>
      <c r="B1349" t="s">
        <v>238</v>
      </c>
      <c r="C1349" t="s">
        <v>911</v>
      </c>
    </row>
    <row r="1350" spans="1:3" x14ac:dyDescent="0.2">
      <c r="A1350" t="str">
        <f>"02279"</f>
        <v>02279</v>
      </c>
      <c r="B1350" t="s">
        <v>1748</v>
      </c>
      <c r="C1350" t="s">
        <v>911</v>
      </c>
    </row>
    <row r="1351" spans="1:3" x14ac:dyDescent="0.2">
      <c r="A1351" t="str">
        <f>"02280"</f>
        <v>02280</v>
      </c>
      <c r="B1351" t="s">
        <v>1749</v>
      </c>
      <c r="C1351" t="s">
        <v>137</v>
      </c>
    </row>
    <row r="1352" spans="1:3" x14ac:dyDescent="0.2">
      <c r="A1352" t="str">
        <f>"02281"</f>
        <v>02281</v>
      </c>
      <c r="B1352" t="s">
        <v>1750</v>
      </c>
      <c r="C1352" t="s">
        <v>208</v>
      </c>
    </row>
    <row r="1353" spans="1:3" x14ac:dyDescent="0.2">
      <c r="A1353" t="str">
        <f>"02282"</f>
        <v>02282</v>
      </c>
      <c r="B1353" t="s">
        <v>110</v>
      </c>
      <c r="C1353" t="s">
        <v>101</v>
      </c>
    </row>
    <row r="1354" spans="1:3" x14ac:dyDescent="0.2">
      <c r="A1354" t="str">
        <f>"02283"</f>
        <v>02283</v>
      </c>
      <c r="B1354" t="s">
        <v>237</v>
      </c>
      <c r="C1354" t="s">
        <v>233</v>
      </c>
    </row>
    <row r="1355" spans="1:3" x14ac:dyDescent="0.2">
      <c r="A1355" t="str">
        <f>"02285"</f>
        <v>02285</v>
      </c>
      <c r="B1355" t="s">
        <v>126</v>
      </c>
      <c r="C1355" t="s">
        <v>120</v>
      </c>
    </row>
    <row r="1356" spans="1:3" x14ac:dyDescent="0.2">
      <c r="A1356" t="str">
        <f>"02286"</f>
        <v>02286</v>
      </c>
      <c r="B1356" t="s">
        <v>1751</v>
      </c>
      <c r="C1356" t="s">
        <v>163</v>
      </c>
    </row>
    <row r="1357" spans="1:3" x14ac:dyDescent="0.2">
      <c r="A1357" t="str">
        <f>"02289"</f>
        <v>02289</v>
      </c>
      <c r="B1357" t="s">
        <v>1752</v>
      </c>
      <c r="C1357" t="s">
        <v>25</v>
      </c>
    </row>
    <row r="1358" spans="1:3" x14ac:dyDescent="0.2">
      <c r="A1358" t="str">
        <f>"02290"</f>
        <v>02290</v>
      </c>
      <c r="B1358" t="s">
        <v>1753</v>
      </c>
      <c r="C1358" t="s">
        <v>81</v>
      </c>
    </row>
    <row r="1359" spans="1:3" x14ac:dyDescent="0.2">
      <c r="A1359" t="str">
        <f>"02291"</f>
        <v>02291</v>
      </c>
      <c r="B1359" t="s">
        <v>20</v>
      </c>
      <c r="C1359" t="s">
        <v>911</v>
      </c>
    </row>
    <row r="1360" spans="1:3" x14ac:dyDescent="0.2">
      <c r="A1360" t="str">
        <f>"02293"</f>
        <v>02293</v>
      </c>
      <c r="B1360" t="s">
        <v>1754</v>
      </c>
      <c r="C1360" t="s">
        <v>911</v>
      </c>
    </row>
    <row r="1361" spans="1:3" x14ac:dyDescent="0.2">
      <c r="A1361" t="str">
        <f>"02295"</f>
        <v>02295</v>
      </c>
      <c r="B1361" t="s">
        <v>1755</v>
      </c>
      <c r="C1361" t="s">
        <v>162</v>
      </c>
    </row>
    <row r="1362" spans="1:3" x14ac:dyDescent="0.2">
      <c r="A1362" t="str">
        <f>"02297"</f>
        <v>02297</v>
      </c>
      <c r="B1362" t="s">
        <v>1756</v>
      </c>
      <c r="C1362" t="s">
        <v>911</v>
      </c>
    </row>
    <row r="1363" spans="1:3" x14ac:dyDescent="0.2">
      <c r="A1363" t="str">
        <f>"02298"</f>
        <v>02298</v>
      </c>
      <c r="B1363" t="s">
        <v>1757</v>
      </c>
      <c r="C1363" t="s">
        <v>112</v>
      </c>
    </row>
    <row r="1364" spans="1:3" x14ac:dyDescent="0.2">
      <c r="A1364" t="str">
        <f>"02299"</f>
        <v>02299</v>
      </c>
      <c r="B1364" t="s">
        <v>1758</v>
      </c>
      <c r="C1364" t="s">
        <v>112</v>
      </c>
    </row>
    <row r="1365" spans="1:3" x14ac:dyDescent="0.2">
      <c r="A1365" t="str">
        <f>"02302"</f>
        <v>02302</v>
      </c>
      <c r="B1365" t="s">
        <v>266</v>
      </c>
      <c r="C1365" t="s">
        <v>264</v>
      </c>
    </row>
    <row r="1366" spans="1:3" x14ac:dyDescent="0.2">
      <c r="A1366" t="str">
        <f>"02306"</f>
        <v>02306</v>
      </c>
      <c r="B1366" t="s">
        <v>99</v>
      </c>
      <c r="C1366" t="s">
        <v>97</v>
      </c>
    </row>
    <row r="1367" spans="1:3" x14ac:dyDescent="0.2">
      <c r="A1367" t="str">
        <f>"02307"</f>
        <v>02307</v>
      </c>
      <c r="B1367" t="s">
        <v>1759</v>
      </c>
      <c r="C1367" t="s">
        <v>112</v>
      </c>
    </row>
    <row r="1368" spans="1:3" x14ac:dyDescent="0.2">
      <c r="A1368" t="str">
        <f>"02309"</f>
        <v>02309</v>
      </c>
      <c r="B1368" t="s">
        <v>105</v>
      </c>
      <c r="C1368" t="s">
        <v>101</v>
      </c>
    </row>
    <row r="1369" spans="1:3" x14ac:dyDescent="0.2">
      <c r="A1369" t="str">
        <f>"02310"</f>
        <v>02310</v>
      </c>
      <c r="B1369" t="s">
        <v>1760</v>
      </c>
      <c r="C1369" t="s">
        <v>163</v>
      </c>
    </row>
    <row r="1370" spans="1:3" x14ac:dyDescent="0.2">
      <c r="A1370" t="str">
        <f>"02312"</f>
        <v>02312</v>
      </c>
      <c r="B1370" t="s">
        <v>1761</v>
      </c>
      <c r="C1370" t="s">
        <v>171</v>
      </c>
    </row>
    <row r="1371" spans="1:3" x14ac:dyDescent="0.2">
      <c r="A1371" t="str">
        <f>"02313"</f>
        <v>02313</v>
      </c>
      <c r="B1371" t="s">
        <v>118</v>
      </c>
      <c r="C1371" t="s">
        <v>112</v>
      </c>
    </row>
    <row r="1372" spans="1:3" x14ac:dyDescent="0.2">
      <c r="A1372" t="str">
        <f>"02314"</f>
        <v>02314</v>
      </c>
      <c r="B1372" t="s">
        <v>262</v>
      </c>
      <c r="C1372" t="s">
        <v>257</v>
      </c>
    </row>
    <row r="1373" spans="1:3" x14ac:dyDescent="0.2">
      <c r="A1373" t="str">
        <f>"02315"</f>
        <v>02315</v>
      </c>
      <c r="B1373" t="s">
        <v>32</v>
      </c>
      <c r="C1373" t="s">
        <v>25</v>
      </c>
    </row>
    <row r="1374" spans="1:3" x14ac:dyDescent="0.2">
      <c r="A1374" t="str">
        <f>"02317"</f>
        <v>02317</v>
      </c>
      <c r="B1374" t="s">
        <v>1762</v>
      </c>
      <c r="C1374" t="s">
        <v>68</v>
      </c>
    </row>
    <row r="1375" spans="1:3" x14ac:dyDescent="0.2">
      <c r="A1375" t="str">
        <f>"02318"</f>
        <v>02318</v>
      </c>
      <c r="B1375" t="s">
        <v>195</v>
      </c>
      <c r="C1375" t="s">
        <v>188</v>
      </c>
    </row>
    <row r="1376" spans="1:3" x14ac:dyDescent="0.2">
      <c r="A1376" t="str">
        <f>"02319"</f>
        <v>02319</v>
      </c>
      <c r="B1376" t="s">
        <v>79</v>
      </c>
      <c r="C1376" t="s">
        <v>68</v>
      </c>
    </row>
    <row r="1377" spans="1:3" x14ac:dyDescent="0.2">
      <c r="A1377" t="str">
        <f>"02321"</f>
        <v>02321</v>
      </c>
      <c r="B1377" t="s">
        <v>1763</v>
      </c>
      <c r="C1377" t="s">
        <v>68</v>
      </c>
    </row>
    <row r="1378" spans="1:3" x14ac:dyDescent="0.2">
      <c r="A1378" t="str">
        <f>"02324"</f>
        <v>02324</v>
      </c>
      <c r="B1378" t="s">
        <v>1764</v>
      </c>
      <c r="C1378" t="s">
        <v>171</v>
      </c>
    </row>
    <row r="1379" spans="1:3" x14ac:dyDescent="0.2">
      <c r="A1379" t="str">
        <f>"02325"</f>
        <v>02325</v>
      </c>
      <c r="B1379" t="s">
        <v>1765</v>
      </c>
      <c r="C1379" t="s">
        <v>25</v>
      </c>
    </row>
    <row r="1380" spans="1:3" x14ac:dyDescent="0.2">
      <c r="A1380" t="str">
        <f>"02327"</f>
        <v>02327</v>
      </c>
      <c r="B1380" t="s">
        <v>1766</v>
      </c>
      <c r="C1380" t="s">
        <v>134</v>
      </c>
    </row>
    <row r="1381" spans="1:3" x14ac:dyDescent="0.2">
      <c r="A1381" t="str">
        <f>"02328"</f>
        <v>02328</v>
      </c>
      <c r="B1381" t="s">
        <v>194</v>
      </c>
      <c r="C1381" t="s">
        <v>188</v>
      </c>
    </row>
    <row r="1382" spans="1:3" x14ac:dyDescent="0.2">
      <c r="A1382" t="str">
        <f>"02330"</f>
        <v>02330</v>
      </c>
      <c r="B1382" t="s">
        <v>1767</v>
      </c>
      <c r="C1382" t="s">
        <v>163</v>
      </c>
    </row>
    <row r="1383" spans="1:3" x14ac:dyDescent="0.2">
      <c r="A1383" t="str">
        <f>"02331"</f>
        <v>02331</v>
      </c>
      <c r="B1383" t="s">
        <v>117</v>
      </c>
      <c r="C1383" t="s">
        <v>112</v>
      </c>
    </row>
    <row r="1384" spans="1:3" x14ac:dyDescent="0.2">
      <c r="A1384" t="str">
        <f>"02333"</f>
        <v>02333</v>
      </c>
      <c r="B1384" t="s">
        <v>132</v>
      </c>
      <c r="C1384" t="s">
        <v>127</v>
      </c>
    </row>
    <row r="1385" spans="1:3" x14ac:dyDescent="0.2">
      <c r="A1385" t="str">
        <f>"02336"</f>
        <v>02336</v>
      </c>
      <c r="B1385" t="s">
        <v>1768</v>
      </c>
      <c r="C1385" t="s">
        <v>264</v>
      </c>
    </row>
    <row r="1386" spans="1:3" x14ac:dyDescent="0.2">
      <c r="A1386" t="str">
        <f>"02337"</f>
        <v>02337</v>
      </c>
      <c r="B1386" t="s">
        <v>1769</v>
      </c>
      <c r="C1386" t="s">
        <v>208</v>
      </c>
    </row>
    <row r="1387" spans="1:3" x14ac:dyDescent="0.2">
      <c r="A1387" t="str">
        <f>"02338"</f>
        <v>02338</v>
      </c>
      <c r="B1387" t="s">
        <v>255</v>
      </c>
      <c r="C1387" t="s">
        <v>233</v>
      </c>
    </row>
    <row r="1388" spans="1:3" x14ac:dyDescent="0.2">
      <c r="A1388" t="str">
        <f>"02339"</f>
        <v>02339</v>
      </c>
      <c r="B1388" t="s">
        <v>814</v>
      </c>
      <c r="C1388" t="s">
        <v>127</v>
      </c>
    </row>
    <row r="1389" spans="1:3" x14ac:dyDescent="0.2">
      <c r="A1389" t="str">
        <f>"02340"</f>
        <v>02340</v>
      </c>
      <c r="B1389" t="s">
        <v>1770</v>
      </c>
      <c r="C1389" t="s">
        <v>162</v>
      </c>
    </row>
    <row r="1390" spans="1:3" x14ac:dyDescent="0.2">
      <c r="A1390" t="str">
        <f>"02342"</f>
        <v>02342</v>
      </c>
      <c r="B1390" t="s">
        <v>160</v>
      </c>
      <c r="C1390" t="s">
        <v>154</v>
      </c>
    </row>
    <row r="1391" spans="1:3" x14ac:dyDescent="0.2">
      <c r="A1391" t="str">
        <f>"02343"</f>
        <v>02343</v>
      </c>
      <c r="B1391" t="s">
        <v>231</v>
      </c>
      <c r="C1391" t="s">
        <v>220</v>
      </c>
    </row>
    <row r="1392" spans="1:3" x14ac:dyDescent="0.2">
      <c r="A1392" t="str">
        <f>"02347"</f>
        <v>02347</v>
      </c>
      <c r="B1392" t="s">
        <v>1771</v>
      </c>
      <c r="C1392" t="s">
        <v>81</v>
      </c>
    </row>
    <row r="1393" spans="1:3" x14ac:dyDescent="0.2">
      <c r="A1393" t="str">
        <f>"02348"</f>
        <v>02348</v>
      </c>
      <c r="B1393" t="s">
        <v>1772</v>
      </c>
      <c r="C1393" t="s">
        <v>25</v>
      </c>
    </row>
    <row r="1394" spans="1:3" x14ac:dyDescent="0.2">
      <c r="A1394" t="str">
        <f>"02350"</f>
        <v>02350</v>
      </c>
      <c r="B1394" t="s">
        <v>1773</v>
      </c>
      <c r="C1394" t="s">
        <v>137</v>
      </c>
    </row>
    <row r="1395" spans="1:3" x14ac:dyDescent="0.2">
      <c r="A1395" t="str">
        <f>"02352"</f>
        <v>02352</v>
      </c>
      <c r="B1395" t="s">
        <v>1774</v>
      </c>
      <c r="C1395" t="s">
        <v>163</v>
      </c>
    </row>
    <row r="1396" spans="1:3" x14ac:dyDescent="0.2">
      <c r="A1396" t="str">
        <f>"02355"</f>
        <v>02355</v>
      </c>
      <c r="B1396" t="s">
        <v>815</v>
      </c>
      <c r="C1396" t="s">
        <v>162</v>
      </c>
    </row>
    <row r="1397" spans="1:3" x14ac:dyDescent="0.2">
      <c r="A1397" t="str">
        <f>"02356"</f>
        <v>02356</v>
      </c>
      <c r="B1397" t="s">
        <v>207</v>
      </c>
      <c r="C1397" t="s">
        <v>196</v>
      </c>
    </row>
    <row r="1398" spans="1:3" x14ac:dyDescent="0.2">
      <c r="A1398" t="str">
        <f>"02357"</f>
        <v>02357</v>
      </c>
      <c r="B1398" t="s">
        <v>254</v>
      </c>
      <c r="C1398" t="s">
        <v>233</v>
      </c>
    </row>
    <row r="1399" spans="1:3" x14ac:dyDescent="0.2">
      <c r="A1399" t="str">
        <f>"02359"</f>
        <v>02359</v>
      </c>
      <c r="B1399" t="s">
        <v>55</v>
      </c>
      <c r="C1399" t="s">
        <v>25</v>
      </c>
    </row>
    <row r="1400" spans="1:3" x14ac:dyDescent="0.2">
      <c r="A1400" t="str">
        <f>"02360"</f>
        <v>02360</v>
      </c>
      <c r="B1400" t="s">
        <v>1775</v>
      </c>
      <c r="C1400" t="s">
        <v>63</v>
      </c>
    </row>
    <row r="1401" spans="1:3" x14ac:dyDescent="0.2">
      <c r="A1401" t="str">
        <f>"02361"</f>
        <v>02361</v>
      </c>
      <c r="B1401" t="s">
        <v>1776</v>
      </c>
      <c r="C1401" t="s">
        <v>137</v>
      </c>
    </row>
    <row r="1402" spans="1:3" x14ac:dyDescent="0.2">
      <c r="A1402" t="str">
        <f>"02362"</f>
        <v>02362</v>
      </c>
      <c r="B1402" t="s">
        <v>1777</v>
      </c>
      <c r="C1402" t="s">
        <v>264</v>
      </c>
    </row>
    <row r="1403" spans="1:3" x14ac:dyDescent="0.2">
      <c r="A1403" t="str">
        <f>"02367"</f>
        <v>02367</v>
      </c>
      <c r="B1403" t="s">
        <v>54</v>
      </c>
      <c r="C1403" t="s">
        <v>911</v>
      </c>
    </row>
    <row r="1404" spans="1:3" x14ac:dyDescent="0.2">
      <c r="A1404" t="str">
        <f>"02368"</f>
        <v>02368</v>
      </c>
      <c r="B1404" t="s">
        <v>1778</v>
      </c>
      <c r="C1404" t="s">
        <v>112</v>
      </c>
    </row>
    <row r="1405" spans="1:3" x14ac:dyDescent="0.2">
      <c r="A1405" t="str">
        <f>"02369"</f>
        <v>02369</v>
      </c>
      <c r="B1405" t="s">
        <v>816</v>
      </c>
      <c r="C1405" t="s">
        <v>154</v>
      </c>
    </row>
    <row r="1406" spans="1:3" x14ac:dyDescent="0.2">
      <c r="A1406" t="str">
        <f>"02370"</f>
        <v>02370</v>
      </c>
      <c r="B1406" t="s">
        <v>1779</v>
      </c>
      <c r="C1406" t="s">
        <v>163</v>
      </c>
    </row>
    <row r="1407" spans="1:3" x14ac:dyDescent="0.2">
      <c r="A1407" t="str">
        <f>"02371"</f>
        <v>02371</v>
      </c>
      <c r="B1407" t="s">
        <v>1780</v>
      </c>
      <c r="C1407" t="s">
        <v>171</v>
      </c>
    </row>
    <row r="1408" spans="1:3" x14ac:dyDescent="0.2">
      <c r="A1408" t="str">
        <f>"02372"</f>
        <v>02372</v>
      </c>
      <c r="B1408" t="s">
        <v>1781</v>
      </c>
      <c r="C1408" t="s">
        <v>217</v>
      </c>
    </row>
    <row r="1409" spans="1:3" x14ac:dyDescent="0.2">
      <c r="A1409" t="str">
        <f>"02373"</f>
        <v>02373</v>
      </c>
      <c r="B1409" t="s">
        <v>6</v>
      </c>
      <c r="C1409" t="s">
        <v>911</v>
      </c>
    </row>
    <row r="1410" spans="1:3" x14ac:dyDescent="0.2">
      <c r="A1410" t="str">
        <f>"02377"</f>
        <v>02377</v>
      </c>
      <c r="B1410" t="s">
        <v>1782</v>
      </c>
      <c r="C1410" t="s">
        <v>233</v>
      </c>
    </row>
    <row r="1411" spans="1:3" x14ac:dyDescent="0.2">
      <c r="A1411" t="str">
        <f>"02378"</f>
        <v>02378</v>
      </c>
      <c r="B1411" t="s">
        <v>193</v>
      </c>
      <c r="C1411" t="s">
        <v>188</v>
      </c>
    </row>
    <row r="1412" spans="1:3" x14ac:dyDescent="0.2">
      <c r="A1412" t="str">
        <f>"02380"</f>
        <v>02380</v>
      </c>
      <c r="B1412" t="s">
        <v>213</v>
      </c>
      <c r="C1412" t="s">
        <v>208</v>
      </c>
    </row>
    <row r="1413" spans="1:3" x14ac:dyDescent="0.2">
      <c r="A1413" t="str">
        <f>"02381"</f>
        <v>02381</v>
      </c>
      <c r="B1413" t="s">
        <v>1783</v>
      </c>
      <c r="C1413" t="s">
        <v>120</v>
      </c>
    </row>
    <row r="1414" spans="1:3" x14ac:dyDescent="0.2">
      <c r="A1414" t="str">
        <f>"02382"</f>
        <v>02382</v>
      </c>
      <c r="B1414" t="s">
        <v>253</v>
      </c>
      <c r="C1414" t="s">
        <v>233</v>
      </c>
    </row>
    <row r="1415" spans="1:3" x14ac:dyDescent="0.2">
      <c r="A1415" t="str">
        <f>"02383"</f>
        <v>02383</v>
      </c>
      <c r="B1415" t="s">
        <v>1784</v>
      </c>
      <c r="C1415" t="s">
        <v>97</v>
      </c>
    </row>
    <row r="1416" spans="1:3" x14ac:dyDescent="0.2">
      <c r="A1416" t="str">
        <f>"02385"</f>
        <v>02385</v>
      </c>
      <c r="B1416" t="s">
        <v>91</v>
      </c>
      <c r="C1416" t="s">
        <v>89</v>
      </c>
    </row>
    <row r="1417" spans="1:3" x14ac:dyDescent="0.2">
      <c r="A1417" t="str">
        <f>"02386"</f>
        <v>02386</v>
      </c>
      <c r="B1417" t="s">
        <v>280</v>
      </c>
      <c r="C1417" t="s">
        <v>277</v>
      </c>
    </row>
    <row r="1418" spans="1:3" x14ac:dyDescent="0.2">
      <c r="A1418" t="str">
        <f>"02388"</f>
        <v>02388</v>
      </c>
      <c r="B1418" t="s">
        <v>206</v>
      </c>
      <c r="C1418" t="s">
        <v>196</v>
      </c>
    </row>
    <row r="1419" spans="1:3" x14ac:dyDescent="0.2">
      <c r="A1419" t="str">
        <f>"02390"</f>
        <v>02390</v>
      </c>
      <c r="B1419" t="s">
        <v>1785</v>
      </c>
      <c r="C1419" t="s">
        <v>97</v>
      </c>
    </row>
    <row r="1420" spans="1:3" x14ac:dyDescent="0.2">
      <c r="A1420" t="str">
        <f>"02391"</f>
        <v>02391</v>
      </c>
      <c r="B1420" t="s">
        <v>1786</v>
      </c>
      <c r="C1420" t="s">
        <v>137</v>
      </c>
    </row>
    <row r="1421" spans="1:3" x14ac:dyDescent="0.2">
      <c r="A1421" t="str">
        <f>"02392"</f>
        <v>02392</v>
      </c>
      <c r="B1421" t="s">
        <v>1787</v>
      </c>
      <c r="C1421" t="s">
        <v>137</v>
      </c>
    </row>
    <row r="1422" spans="1:3" x14ac:dyDescent="0.2">
      <c r="A1422" t="str">
        <f>"02396"</f>
        <v>02396</v>
      </c>
      <c r="B1422" t="s">
        <v>1788</v>
      </c>
      <c r="C1422" t="s">
        <v>25</v>
      </c>
    </row>
    <row r="1423" spans="1:3" x14ac:dyDescent="0.2">
      <c r="A1423" t="str">
        <f>"02399"</f>
        <v>02399</v>
      </c>
      <c r="B1423" t="s">
        <v>817</v>
      </c>
      <c r="C1423" t="s">
        <v>233</v>
      </c>
    </row>
    <row r="1424" spans="1:3" x14ac:dyDescent="0.2">
      <c r="A1424" t="str">
        <f>"02400"</f>
        <v>02400</v>
      </c>
      <c r="B1424" t="s">
        <v>153</v>
      </c>
      <c r="C1424" t="s">
        <v>137</v>
      </c>
    </row>
    <row r="1425" spans="1:3" x14ac:dyDescent="0.2">
      <c r="A1425" t="str">
        <f>"02402"</f>
        <v>02402</v>
      </c>
      <c r="B1425" t="s">
        <v>252</v>
      </c>
      <c r="C1425" t="s">
        <v>233</v>
      </c>
    </row>
    <row r="1426" spans="1:3" x14ac:dyDescent="0.2">
      <c r="A1426" t="str">
        <f>"02405"</f>
        <v>02405</v>
      </c>
      <c r="B1426" t="s">
        <v>1789</v>
      </c>
      <c r="C1426" t="s">
        <v>97</v>
      </c>
    </row>
    <row r="1427" spans="1:3" x14ac:dyDescent="0.2">
      <c r="A1427" t="str">
        <f>"02407"</f>
        <v>02407</v>
      </c>
      <c r="B1427" t="s">
        <v>1790</v>
      </c>
      <c r="C1427" t="s">
        <v>911</v>
      </c>
    </row>
    <row r="1428" spans="1:3" x14ac:dyDescent="0.2">
      <c r="A1428" t="str">
        <f>"02408"</f>
        <v>02408</v>
      </c>
      <c r="B1428" t="s">
        <v>818</v>
      </c>
      <c r="C1428" t="s">
        <v>101</v>
      </c>
    </row>
    <row r="1429" spans="1:3" x14ac:dyDescent="0.2">
      <c r="A1429" t="str">
        <f>"02409"</f>
        <v>02409</v>
      </c>
      <c r="B1429" t="s">
        <v>1791</v>
      </c>
      <c r="C1429" t="s">
        <v>220</v>
      </c>
    </row>
    <row r="1430" spans="1:3" x14ac:dyDescent="0.2">
      <c r="A1430" t="str">
        <f>"02410"</f>
        <v>02410</v>
      </c>
      <c r="B1430" t="s">
        <v>53</v>
      </c>
      <c r="C1430" t="s">
        <v>25</v>
      </c>
    </row>
    <row r="1431" spans="1:3" x14ac:dyDescent="0.2">
      <c r="A1431" t="str">
        <f>"02411"</f>
        <v>02411</v>
      </c>
      <c r="B1431" t="s">
        <v>78</v>
      </c>
      <c r="C1431" t="s">
        <v>68</v>
      </c>
    </row>
    <row r="1432" spans="1:3" x14ac:dyDescent="0.2">
      <c r="A1432" t="str">
        <f>"02415"</f>
        <v>02415</v>
      </c>
      <c r="B1432" t="s">
        <v>1792</v>
      </c>
      <c r="C1432" t="s">
        <v>911</v>
      </c>
    </row>
    <row r="1433" spans="1:3" x14ac:dyDescent="0.2">
      <c r="A1433" t="str">
        <f>"02416"</f>
        <v>02416</v>
      </c>
      <c r="B1433" t="s">
        <v>1793</v>
      </c>
      <c r="C1433" t="s">
        <v>137</v>
      </c>
    </row>
    <row r="1434" spans="1:3" x14ac:dyDescent="0.2">
      <c r="A1434" t="str">
        <f>"02418"</f>
        <v>02418</v>
      </c>
      <c r="B1434" t="s">
        <v>218</v>
      </c>
      <c r="C1434" t="s">
        <v>217</v>
      </c>
    </row>
    <row r="1435" spans="1:3" x14ac:dyDescent="0.2">
      <c r="A1435" t="str">
        <f>"02419"</f>
        <v>02419</v>
      </c>
      <c r="B1435" t="s">
        <v>67</v>
      </c>
      <c r="C1435" t="s">
        <v>66</v>
      </c>
    </row>
    <row r="1436" spans="1:3" x14ac:dyDescent="0.2">
      <c r="A1436" t="str">
        <f>"02420"</f>
        <v>02420</v>
      </c>
      <c r="B1436" t="s">
        <v>1794</v>
      </c>
      <c r="C1436" t="s">
        <v>81</v>
      </c>
    </row>
    <row r="1437" spans="1:3" x14ac:dyDescent="0.2">
      <c r="A1437" t="str">
        <f>"02421"</f>
        <v>02421</v>
      </c>
      <c r="B1437" t="s">
        <v>1795</v>
      </c>
      <c r="C1437" t="s">
        <v>163</v>
      </c>
    </row>
    <row r="1438" spans="1:3" x14ac:dyDescent="0.2">
      <c r="A1438" t="str">
        <f>"02422"</f>
        <v>02422</v>
      </c>
      <c r="B1438" t="s">
        <v>1796</v>
      </c>
      <c r="C1438" t="s">
        <v>97</v>
      </c>
    </row>
    <row r="1439" spans="1:3" x14ac:dyDescent="0.2">
      <c r="A1439" t="str">
        <f>"02423"</f>
        <v>02423</v>
      </c>
      <c r="B1439" t="s">
        <v>169</v>
      </c>
      <c r="C1439" t="s">
        <v>163</v>
      </c>
    </row>
    <row r="1440" spans="1:3" x14ac:dyDescent="0.2">
      <c r="A1440" t="str">
        <f>"02425"</f>
        <v>02425</v>
      </c>
      <c r="B1440" t="s">
        <v>1797</v>
      </c>
      <c r="C1440" t="s">
        <v>68</v>
      </c>
    </row>
    <row r="1441" spans="1:3" x14ac:dyDescent="0.2">
      <c r="A1441" t="str">
        <f>"02427"</f>
        <v>02427</v>
      </c>
      <c r="B1441" t="s">
        <v>1798</v>
      </c>
      <c r="C1441" t="s">
        <v>911</v>
      </c>
    </row>
    <row r="1442" spans="1:3" x14ac:dyDescent="0.2">
      <c r="A1442" t="str">
        <f>"02429"</f>
        <v>02429</v>
      </c>
      <c r="B1442" t="s">
        <v>77</v>
      </c>
      <c r="C1442" t="s">
        <v>68</v>
      </c>
    </row>
    <row r="1443" spans="1:3" x14ac:dyDescent="0.2">
      <c r="A1443" t="str">
        <f>"02431"</f>
        <v>02431</v>
      </c>
      <c r="B1443" t="s">
        <v>152</v>
      </c>
      <c r="C1443" t="s">
        <v>137</v>
      </c>
    </row>
    <row r="1444" spans="1:3" x14ac:dyDescent="0.2">
      <c r="A1444" t="str">
        <f>"02432"</f>
        <v>02432</v>
      </c>
      <c r="B1444" t="s">
        <v>151</v>
      </c>
      <c r="C1444" t="s">
        <v>137</v>
      </c>
    </row>
    <row r="1445" spans="1:3" x14ac:dyDescent="0.2">
      <c r="A1445" t="str">
        <f>"02436"</f>
        <v>02436</v>
      </c>
      <c r="B1445" t="s">
        <v>1799</v>
      </c>
      <c r="C1445" t="s">
        <v>154</v>
      </c>
    </row>
    <row r="1446" spans="1:3" x14ac:dyDescent="0.2">
      <c r="A1446" t="str">
        <f>"02438"</f>
        <v>02438</v>
      </c>
      <c r="B1446" t="s">
        <v>819</v>
      </c>
      <c r="C1446" t="s">
        <v>137</v>
      </c>
    </row>
    <row r="1447" spans="1:3" x14ac:dyDescent="0.2">
      <c r="A1447" t="str">
        <f>"02439"</f>
        <v>02439</v>
      </c>
      <c r="B1447" t="s">
        <v>1800</v>
      </c>
      <c r="C1447" t="s">
        <v>217</v>
      </c>
    </row>
    <row r="1448" spans="1:3" x14ac:dyDescent="0.2">
      <c r="A1448" t="str">
        <f>"02440"</f>
        <v>02440</v>
      </c>
      <c r="B1448" t="s">
        <v>1801</v>
      </c>
      <c r="C1448" t="s">
        <v>137</v>
      </c>
    </row>
    <row r="1449" spans="1:3" x14ac:dyDescent="0.2">
      <c r="A1449" t="str">
        <f>"02442"</f>
        <v>02442</v>
      </c>
      <c r="B1449" t="s">
        <v>820</v>
      </c>
      <c r="C1449" t="s">
        <v>162</v>
      </c>
    </row>
    <row r="1450" spans="1:3" x14ac:dyDescent="0.2">
      <c r="A1450" t="str">
        <f>"02443"</f>
        <v>02443</v>
      </c>
      <c r="B1450" t="s">
        <v>96</v>
      </c>
      <c r="C1450" t="s">
        <v>89</v>
      </c>
    </row>
    <row r="1451" spans="1:3" x14ac:dyDescent="0.2">
      <c r="A1451" t="str">
        <f>"02450"</f>
        <v>02450</v>
      </c>
      <c r="B1451" t="s">
        <v>1802</v>
      </c>
      <c r="C1451" t="s">
        <v>162</v>
      </c>
    </row>
    <row r="1452" spans="1:3" x14ac:dyDescent="0.2">
      <c r="A1452" t="str">
        <f>"02451"</f>
        <v>02451</v>
      </c>
      <c r="B1452" t="s">
        <v>130</v>
      </c>
      <c r="C1452" t="s">
        <v>127</v>
      </c>
    </row>
    <row r="1453" spans="1:3" x14ac:dyDescent="0.2">
      <c r="A1453" t="str">
        <f>"02453"</f>
        <v>02453</v>
      </c>
      <c r="B1453" t="s">
        <v>1803</v>
      </c>
      <c r="C1453" t="s">
        <v>911</v>
      </c>
    </row>
    <row r="1454" spans="1:3" x14ac:dyDescent="0.2">
      <c r="A1454" t="str">
        <f>"02455"</f>
        <v>02455</v>
      </c>
      <c r="B1454" t="s">
        <v>1804</v>
      </c>
      <c r="C1454" t="s">
        <v>163</v>
      </c>
    </row>
    <row r="1455" spans="1:3" x14ac:dyDescent="0.2">
      <c r="A1455" t="str">
        <f>"02457"</f>
        <v>02457</v>
      </c>
      <c r="B1455" t="s">
        <v>1805</v>
      </c>
      <c r="C1455" t="s">
        <v>127</v>
      </c>
    </row>
    <row r="1456" spans="1:3" x14ac:dyDescent="0.2">
      <c r="A1456" t="str">
        <f>"02458"</f>
        <v>02458</v>
      </c>
      <c r="B1456" t="s">
        <v>1806</v>
      </c>
      <c r="C1456" t="s">
        <v>137</v>
      </c>
    </row>
    <row r="1457" spans="1:3" x14ac:dyDescent="0.2">
      <c r="A1457" t="str">
        <f>"02459"</f>
        <v>02459</v>
      </c>
      <c r="B1457" t="s">
        <v>1807</v>
      </c>
      <c r="C1457" t="s">
        <v>233</v>
      </c>
    </row>
    <row r="1458" spans="1:3" x14ac:dyDescent="0.2">
      <c r="A1458" t="str">
        <f>"02460"</f>
        <v>02460</v>
      </c>
      <c r="B1458" t="s">
        <v>76</v>
      </c>
      <c r="C1458" t="s">
        <v>68</v>
      </c>
    </row>
    <row r="1459" spans="1:3" x14ac:dyDescent="0.2">
      <c r="A1459" t="str">
        <f>"02465"</f>
        <v>02465</v>
      </c>
      <c r="B1459" t="s">
        <v>251</v>
      </c>
      <c r="C1459" t="s">
        <v>233</v>
      </c>
    </row>
    <row r="1460" spans="1:3" x14ac:dyDescent="0.2">
      <c r="A1460" t="str">
        <f>"02469"</f>
        <v>02469</v>
      </c>
      <c r="B1460" t="s">
        <v>95</v>
      </c>
      <c r="C1460" t="s">
        <v>89</v>
      </c>
    </row>
    <row r="1461" spans="1:3" x14ac:dyDescent="0.2">
      <c r="A1461" t="str">
        <f>"02473"</f>
        <v>02473</v>
      </c>
      <c r="B1461" t="s">
        <v>129</v>
      </c>
      <c r="C1461" t="s">
        <v>127</v>
      </c>
    </row>
    <row r="1462" spans="1:3" x14ac:dyDescent="0.2">
      <c r="A1462" t="str">
        <f>"02476"</f>
        <v>02476</v>
      </c>
      <c r="B1462" t="s">
        <v>1808</v>
      </c>
      <c r="C1462" t="s">
        <v>233</v>
      </c>
    </row>
    <row r="1463" spans="1:3" x14ac:dyDescent="0.2">
      <c r="A1463" t="str">
        <f>"02477"</f>
        <v>02477</v>
      </c>
      <c r="B1463" t="s">
        <v>216</v>
      </c>
      <c r="C1463" t="s">
        <v>215</v>
      </c>
    </row>
    <row r="1464" spans="1:3" x14ac:dyDescent="0.2">
      <c r="A1464" t="str">
        <f>"02479"</f>
        <v>02479</v>
      </c>
      <c r="B1464" t="s">
        <v>1809</v>
      </c>
      <c r="C1464" t="s">
        <v>137</v>
      </c>
    </row>
    <row r="1465" spans="1:3" x14ac:dyDescent="0.2">
      <c r="A1465" t="str">
        <f>"02480"</f>
        <v>02480</v>
      </c>
      <c r="B1465" t="s">
        <v>1810</v>
      </c>
      <c r="C1465" t="s">
        <v>25</v>
      </c>
    </row>
    <row r="1466" spans="1:3" x14ac:dyDescent="0.2">
      <c r="A1466" t="str">
        <f>"02481"</f>
        <v>02481</v>
      </c>
      <c r="B1466" t="s">
        <v>1811</v>
      </c>
      <c r="C1466" t="s">
        <v>208</v>
      </c>
    </row>
    <row r="1467" spans="1:3" x14ac:dyDescent="0.2">
      <c r="A1467" t="str">
        <f>"02482"</f>
        <v>02482</v>
      </c>
      <c r="B1467" t="s">
        <v>1812</v>
      </c>
      <c r="C1467" t="s">
        <v>220</v>
      </c>
    </row>
    <row r="1468" spans="1:3" x14ac:dyDescent="0.2">
      <c r="A1468" t="str">
        <f>"02483"</f>
        <v>02483</v>
      </c>
      <c r="B1468" t="s">
        <v>1813</v>
      </c>
      <c r="C1468" t="s">
        <v>171</v>
      </c>
    </row>
    <row r="1469" spans="1:3" x14ac:dyDescent="0.2">
      <c r="A1469" t="str">
        <f>"02486"</f>
        <v>02486</v>
      </c>
      <c r="B1469" t="s">
        <v>98</v>
      </c>
      <c r="C1469" t="s">
        <v>97</v>
      </c>
    </row>
    <row r="1470" spans="1:3" x14ac:dyDescent="0.2">
      <c r="A1470" t="str">
        <f>"02487"</f>
        <v>02487</v>
      </c>
      <c r="B1470" t="s">
        <v>52</v>
      </c>
      <c r="C1470" t="s">
        <v>25</v>
      </c>
    </row>
    <row r="1471" spans="1:3" x14ac:dyDescent="0.2">
      <c r="A1471" t="str">
        <f>"02488"</f>
        <v>02488</v>
      </c>
      <c r="B1471" t="s">
        <v>128</v>
      </c>
      <c r="C1471" t="s">
        <v>127</v>
      </c>
    </row>
    <row r="1472" spans="1:3" x14ac:dyDescent="0.2">
      <c r="A1472" t="str">
        <f>"02489"</f>
        <v>02489</v>
      </c>
      <c r="B1472" t="s">
        <v>1814</v>
      </c>
      <c r="C1472" t="s">
        <v>272</v>
      </c>
    </row>
    <row r="1473" spans="1:3" x14ac:dyDescent="0.2">
      <c r="A1473" t="str">
        <f>"02490"</f>
        <v>02490</v>
      </c>
      <c r="B1473" t="s">
        <v>222</v>
      </c>
      <c r="C1473" t="s">
        <v>220</v>
      </c>
    </row>
    <row r="1474" spans="1:3" x14ac:dyDescent="0.2">
      <c r="A1474" t="str">
        <f>"02493"</f>
        <v>02493</v>
      </c>
      <c r="B1474" t="s">
        <v>1815</v>
      </c>
      <c r="C1474" t="s">
        <v>25</v>
      </c>
    </row>
    <row r="1475" spans="1:3" x14ac:dyDescent="0.2">
      <c r="A1475" t="str">
        <f>"02495"</f>
        <v>02495</v>
      </c>
      <c r="B1475" t="s">
        <v>142</v>
      </c>
      <c r="C1475" t="s">
        <v>137</v>
      </c>
    </row>
    <row r="1476" spans="1:3" x14ac:dyDescent="0.2">
      <c r="A1476" t="str">
        <f>"02496"</f>
        <v>02496</v>
      </c>
      <c r="B1476" t="s">
        <v>1816</v>
      </c>
      <c r="C1476" t="s">
        <v>25</v>
      </c>
    </row>
    <row r="1477" spans="1:3" x14ac:dyDescent="0.2">
      <c r="A1477" t="str">
        <f>"02497"</f>
        <v>02497</v>
      </c>
      <c r="B1477" t="s">
        <v>1817</v>
      </c>
      <c r="C1477" t="s">
        <v>66</v>
      </c>
    </row>
    <row r="1478" spans="1:3" x14ac:dyDescent="0.2">
      <c r="A1478" t="str">
        <f>"02498"</f>
        <v>02498</v>
      </c>
      <c r="B1478" t="s">
        <v>150</v>
      </c>
      <c r="C1478" t="s">
        <v>137</v>
      </c>
    </row>
    <row r="1479" spans="1:3" x14ac:dyDescent="0.2">
      <c r="A1479" t="str">
        <f>"02499"</f>
        <v>02499</v>
      </c>
      <c r="B1479" t="s">
        <v>1818</v>
      </c>
      <c r="C1479" t="s">
        <v>233</v>
      </c>
    </row>
    <row r="1480" spans="1:3" x14ac:dyDescent="0.2">
      <c r="A1480" t="str">
        <f>"02500"</f>
        <v>02500</v>
      </c>
      <c r="B1480" t="s">
        <v>19</v>
      </c>
      <c r="C1480" t="s">
        <v>911</v>
      </c>
    </row>
    <row r="1481" spans="1:3" x14ac:dyDescent="0.2">
      <c r="A1481" t="str">
        <f>"02501"</f>
        <v>02501</v>
      </c>
      <c r="B1481" t="s">
        <v>1819</v>
      </c>
      <c r="C1481" t="s">
        <v>137</v>
      </c>
    </row>
    <row r="1482" spans="1:3" x14ac:dyDescent="0.2">
      <c r="A1482" t="str">
        <f>"02502"</f>
        <v>02502</v>
      </c>
      <c r="B1482" t="s">
        <v>1820</v>
      </c>
      <c r="C1482" t="s">
        <v>257</v>
      </c>
    </row>
    <row r="1483" spans="1:3" x14ac:dyDescent="0.2">
      <c r="A1483" t="str">
        <f>"02503"</f>
        <v>02503</v>
      </c>
      <c r="B1483" t="s">
        <v>1821</v>
      </c>
      <c r="C1483" t="s">
        <v>162</v>
      </c>
    </row>
    <row r="1484" spans="1:3" x14ac:dyDescent="0.2">
      <c r="A1484" t="str">
        <f>"02505"</f>
        <v>02505</v>
      </c>
      <c r="B1484" t="s">
        <v>1822</v>
      </c>
      <c r="C1484" t="s">
        <v>217</v>
      </c>
    </row>
    <row r="1485" spans="1:3" x14ac:dyDescent="0.2">
      <c r="A1485" t="str">
        <f>"02506"</f>
        <v>02506</v>
      </c>
      <c r="B1485" t="s">
        <v>18</v>
      </c>
      <c r="C1485" t="s">
        <v>911</v>
      </c>
    </row>
    <row r="1486" spans="1:3" x14ac:dyDescent="0.2">
      <c r="A1486" t="str">
        <f>"02507"</f>
        <v>02507</v>
      </c>
      <c r="B1486" t="s">
        <v>250</v>
      </c>
      <c r="C1486" t="s">
        <v>233</v>
      </c>
    </row>
    <row r="1487" spans="1:3" x14ac:dyDescent="0.2">
      <c r="A1487" t="str">
        <f>"02508"</f>
        <v>02508</v>
      </c>
      <c r="B1487" t="s">
        <v>1823</v>
      </c>
      <c r="C1487" t="s">
        <v>89</v>
      </c>
    </row>
    <row r="1488" spans="1:3" x14ac:dyDescent="0.2">
      <c r="A1488" t="str">
        <f>"02509"</f>
        <v>02509</v>
      </c>
      <c r="B1488" t="s">
        <v>31</v>
      </c>
      <c r="C1488" t="s">
        <v>25</v>
      </c>
    </row>
    <row r="1489" spans="1:3" x14ac:dyDescent="0.2">
      <c r="A1489" t="str">
        <f>"02510"</f>
        <v>02510</v>
      </c>
      <c r="B1489" t="s">
        <v>230</v>
      </c>
      <c r="C1489" t="s">
        <v>220</v>
      </c>
    </row>
    <row r="1490" spans="1:3" x14ac:dyDescent="0.2">
      <c r="A1490" t="str">
        <f>"02511"</f>
        <v>02511</v>
      </c>
      <c r="B1490" t="s">
        <v>1824</v>
      </c>
      <c r="C1490" t="s">
        <v>25</v>
      </c>
    </row>
    <row r="1491" spans="1:3" x14ac:dyDescent="0.2">
      <c r="A1491" t="str">
        <f>"02512"</f>
        <v>02512</v>
      </c>
      <c r="B1491" t="s">
        <v>1825</v>
      </c>
      <c r="C1491" t="s">
        <v>137</v>
      </c>
    </row>
    <row r="1492" spans="1:3" x14ac:dyDescent="0.2">
      <c r="A1492" t="str">
        <f>"02513"</f>
        <v>02513</v>
      </c>
      <c r="B1492" t="s">
        <v>1826</v>
      </c>
      <c r="C1492" t="s">
        <v>137</v>
      </c>
    </row>
    <row r="1493" spans="1:3" x14ac:dyDescent="0.2">
      <c r="A1493" t="str">
        <f>"02515"</f>
        <v>02515</v>
      </c>
      <c r="B1493" t="s">
        <v>1827</v>
      </c>
      <c r="C1493" t="s">
        <v>162</v>
      </c>
    </row>
    <row r="1494" spans="1:3" x14ac:dyDescent="0.2">
      <c r="A1494" t="str">
        <f>"02516"</f>
        <v>02516</v>
      </c>
      <c r="B1494" t="s">
        <v>221</v>
      </c>
      <c r="C1494" t="s">
        <v>220</v>
      </c>
    </row>
    <row r="1495" spans="1:3" x14ac:dyDescent="0.2">
      <c r="A1495" t="str">
        <f>"02517"</f>
        <v>02517</v>
      </c>
      <c r="B1495" t="s">
        <v>75</v>
      </c>
      <c r="C1495" t="s">
        <v>68</v>
      </c>
    </row>
    <row r="1496" spans="1:3" x14ac:dyDescent="0.2">
      <c r="A1496" t="str">
        <f>"02518"</f>
        <v>02518</v>
      </c>
      <c r="B1496" t="s">
        <v>1828</v>
      </c>
      <c r="C1496" t="s">
        <v>81</v>
      </c>
    </row>
    <row r="1497" spans="1:3" x14ac:dyDescent="0.2">
      <c r="A1497" t="str">
        <f>"02519"</f>
        <v>02519</v>
      </c>
      <c r="B1497" t="s">
        <v>1829</v>
      </c>
      <c r="C1497" t="s">
        <v>81</v>
      </c>
    </row>
    <row r="1498" spans="1:3" x14ac:dyDescent="0.2">
      <c r="A1498" t="str">
        <f>"02520"</f>
        <v>02520</v>
      </c>
      <c r="B1498" t="s">
        <v>1830</v>
      </c>
      <c r="C1498" t="s">
        <v>162</v>
      </c>
    </row>
    <row r="1499" spans="1:3" x14ac:dyDescent="0.2">
      <c r="A1499" t="str">
        <f>"02521"</f>
        <v>02521</v>
      </c>
      <c r="B1499" t="s">
        <v>821</v>
      </c>
      <c r="C1499" t="s">
        <v>89</v>
      </c>
    </row>
    <row r="1500" spans="1:3" x14ac:dyDescent="0.2">
      <c r="A1500" t="str">
        <f>"02522"</f>
        <v>02522</v>
      </c>
      <c r="B1500" t="s">
        <v>17</v>
      </c>
      <c r="C1500" t="s">
        <v>911</v>
      </c>
    </row>
    <row r="1501" spans="1:3" x14ac:dyDescent="0.2">
      <c r="A1501" t="str">
        <f>"02525"</f>
        <v>02525</v>
      </c>
      <c r="B1501" t="s">
        <v>822</v>
      </c>
      <c r="C1501" t="s">
        <v>137</v>
      </c>
    </row>
    <row r="1502" spans="1:3" x14ac:dyDescent="0.2">
      <c r="A1502" t="str">
        <f>"02526"</f>
        <v>02526</v>
      </c>
      <c r="B1502" t="s">
        <v>1831</v>
      </c>
      <c r="C1502" t="s">
        <v>911</v>
      </c>
    </row>
    <row r="1503" spans="1:3" x14ac:dyDescent="0.2">
      <c r="A1503" t="str">
        <f>"02528"</f>
        <v>02528</v>
      </c>
      <c r="B1503" t="s">
        <v>1832</v>
      </c>
      <c r="C1503" t="s">
        <v>81</v>
      </c>
    </row>
    <row r="1504" spans="1:3" x14ac:dyDescent="0.2">
      <c r="A1504" t="str">
        <f>"02529"</f>
        <v>02529</v>
      </c>
      <c r="B1504" t="s">
        <v>1833</v>
      </c>
      <c r="C1504" t="s">
        <v>163</v>
      </c>
    </row>
    <row r="1505" spans="1:3" x14ac:dyDescent="0.2">
      <c r="A1505" t="str">
        <f>"02530"</f>
        <v>02530</v>
      </c>
      <c r="B1505" t="s">
        <v>1834</v>
      </c>
      <c r="C1505" t="s">
        <v>911</v>
      </c>
    </row>
    <row r="1506" spans="1:3" x14ac:dyDescent="0.2">
      <c r="A1506" t="str">
        <f>"02531"</f>
        <v>02531</v>
      </c>
      <c r="B1506" t="s">
        <v>1835</v>
      </c>
      <c r="C1506" t="s">
        <v>137</v>
      </c>
    </row>
    <row r="1507" spans="1:3" x14ac:dyDescent="0.2">
      <c r="A1507" t="str">
        <f>"02533"</f>
        <v>02533</v>
      </c>
      <c r="B1507" t="s">
        <v>149</v>
      </c>
      <c r="C1507" t="s">
        <v>137</v>
      </c>
    </row>
    <row r="1508" spans="1:3" x14ac:dyDescent="0.2">
      <c r="A1508" t="str">
        <f>"02535"</f>
        <v>02535</v>
      </c>
      <c r="B1508" t="s">
        <v>823</v>
      </c>
      <c r="C1508" t="s">
        <v>162</v>
      </c>
    </row>
    <row r="1509" spans="1:3" x14ac:dyDescent="0.2">
      <c r="A1509" t="str">
        <f>"02536"</f>
        <v>02536</v>
      </c>
      <c r="B1509" t="s">
        <v>104</v>
      </c>
      <c r="C1509" t="s">
        <v>101</v>
      </c>
    </row>
    <row r="1510" spans="1:3" x14ac:dyDescent="0.2">
      <c r="A1510" t="str">
        <f>"02539"</f>
        <v>02539</v>
      </c>
      <c r="B1510" t="s">
        <v>824</v>
      </c>
      <c r="C1510" t="s">
        <v>101</v>
      </c>
    </row>
    <row r="1511" spans="1:3" x14ac:dyDescent="0.2">
      <c r="A1511" t="str">
        <f>"02540"</f>
        <v>02540</v>
      </c>
      <c r="B1511" t="s">
        <v>1836</v>
      </c>
      <c r="C1511" t="s">
        <v>97</v>
      </c>
    </row>
    <row r="1512" spans="1:3" x14ac:dyDescent="0.2">
      <c r="A1512" t="str">
        <f>"02543"</f>
        <v>02543</v>
      </c>
      <c r="B1512" t="s">
        <v>825</v>
      </c>
      <c r="C1512" t="s">
        <v>120</v>
      </c>
    </row>
    <row r="1513" spans="1:3" x14ac:dyDescent="0.2">
      <c r="A1513" t="str">
        <f>"02545"</f>
        <v>02545</v>
      </c>
      <c r="B1513" t="s">
        <v>1837</v>
      </c>
      <c r="C1513" t="s">
        <v>215</v>
      </c>
    </row>
    <row r="1514" spans="1:3" x14ac:dyDescent="0.2">
      <c r="A1514" t="str">
        <f>"02546"</f>
        <v>02546</v>
      </c>
      <c r="B1514" t="s">
        <v>1838</v>
      </c>
      <c r="C1514" t="s">
        <v>264</v>
      </c>
    </row>
    <row r="1515" spans="1:3" x14ac:dyDescent="0.2">
      <c r="A1515" t="str">
        <f>"02549"</f>
        <v>02549</v>
      </c>
      <c r="B1515" t="s">
        <v>121</v>
      </c>
      <c r="C1515" t="s">
        <v>120</v>
      </c>
    </row>
    <row r="1516" spans="1:3" x14ac:dyDescent="0.2">
      <c r="A1516" t="str">
        <f>"02550"</f>
        <v>02550</v>
      </c>
      <c r="B1516" t="s">
        <v>100</v>
      </c>
      <c r="C1516" t="s">
        <v>97</v>
      </c>
    </row>
    <row r="1517" spans="1:3" x14ac:dyDescent="0.2">
      <c r="A1517" t="str">
        <f>"02551"</f>
        <v>02551</v>
      </c>
      <c r="B1517" t="s">
        <v>236</v>
      </c>
      <c r="C1517" t="s">
        <v>233</v>
      </c>
    </row>
    <row r="1518" spans="1:3" x14ac:dyDescent="0.2">
      <c r="A1518" t="str">
        <f>"02552"</f>
        <v>02552</v>
      </c>
      <c r="B1518" t="s">
        <v>30</v>
      </c>
      <c r="C1518" t="s">
        <v>25</v>
      </c>
    </row>
    <row r="1519" spans="1:3" x14ac:dyDescent="0.2">
      <c r="A1519" t="str">
        <f>"02553"</f>
        <v>02553</v>
      </c>
      <c r="B1519" t="s">
        <v>1839</v>
      </c>
      <c r="C1519" t="s">
        <v>257</v>
      </c>
    </row>
    <row r="1520" spans="1:3" x14ac:dyDescent="0.2">
      <c r="A1520" t="str">
        <f>"02555"</f>
        <v>02555</v>
      </c>
      <c r="B1520" t="s">
        <v>74</v>
      </c>
      <c r="C1520" t="s">
        <v>68</v>
      </c>
    </row>
    <row r="1521" spans="1:3" x14ac:dyDescent="0.2">
      <c r="A1521" t="str">
        <f>"02556"</f>
        <v>02556</v>
      </c>
      <c r="B1521" t="s">
        <v>148</v>
      </c>
      <c r="C1521" t="s">
        <v>137</v>
      </c>
    </row>
    <row r="1522" spans="1:3" x14ac:dyDescent="0.2">
      <c r="A1522" t="str">
        <f>"02558"</f>
        <v>02558</v>
      </c>
      <c r="B1522" t="s">
        <v>1840</v>
      </c>
      <c r="C1522" t="s">
        <v>196</v>
      </c>
    </row>
    <row r="1523" spans="1:3" x14ac:dyDescent="0.2">
      <c r="A1523" t="str">
        <f>"02559"</f>
        <v>02559</v>
      </c>
      <c r="B1523" t="s">
        <v>103</v>
      </c>
      <c r="C1523" t="s">
        <v>101</v>
      </c>
    </row>
    <row r="1524" spans="1:3" x14ac:dyDescent="0.2">
      <c r="A1524" t="str">
        <f>"02560"</f>
        <v>02560</v>
      </c>
      <c r="B1524" t="s">
        <v>1841</v>
      </c>
      <c r="C1524" t="s">
        <v>257</v>
      </c>
    </row>
    <row r="1525" spans="1:3" x14ac:dyDescent="0.2">
      <c r="A1525" t="str">
        <f>"02561"</f>
        <v>02561</v>
      </c>
      <c r="B1525" t="s">
        <v>1842</v>
      </c>
      <c r="C1525" t="s">
        <v>25</v>
      </c>
    </row>
    <row r="1526" spans="1:3" x14ac:dyDescent="0.2">
      <c r="A1526" t="str">
        <f>"02562"</f>
        <v>02562</v>
      </c>
      <c r="B1526" t="s">
        <v>826</v>
      </c>
      <c r="C1526" t="s">
        <v>81</v>
      </c>
    </row>
    <row r="1527" spans="1:3" x14ac:dyDescent="0.2">
      <c r="A1527" t="str">
        <f>"02563"</f>
        <v>02563</v>
      </c>
      <c r="B1527" t="s">
        <v>1843</v>
      </c>
      <c r="C1527" t="s">
        <v>25</v>
      </c>
    </row>
    <row r="1528" spans="1:3" x14ac:dyDescent="0.2">
      <c r="A1528" t="str">
        <f>"02565"</f>
        <v>02565</v>
      </c>
      <c r="B1528" t="s">
        <v>29</v>
      </c>
      <c r="C1528" t="s">
        <v>25</v>
      </c>
    </row>
    <row r="1529" spans="1:3" x14ac:dyDescent="0.2">
      <c r="A1529" t="str">
        <f>"02566"</f>
        <v>02566</v>
      </c>
      <c r="B1529" t="s">
        <v>1844</v>
      </c>
      <c r="C1529" t="s">
        <v>25</v>
      </c>
    </row>
    <row r="1530" spans="1:3" x14ac:dyDescent="0.2">
      <c r="A1530" t="str">
        <f>"02567"</f>
        <v>02567</v>
      </c>
      <c r="B1530" t="s">
        <v>1845</v>
      </c>
      <c r="C1530" t="s">
        <v>137</v>
      </c>
    </row>
    <row r="1531" spans="1:3" x14ac:dyDescent="0.2">
      <c r="A1531" t="str">
        <f>"02569"</f>
        <v>02569</v>
      </c>
      <c r="B1531" t="s">
        <v>1846</v>
      </c>
      <c r="C1531" t="s">
        <v>63</v>
      </c>
    </row>
    <row r="1532" spans="1:3" x14ac:dyDescent="0.2">
      <c r="A1532" t="str">
        <f>"02570"</f>
        <v>02570</v>
      </c>
      <c r="B1532" t="s">
        <v>827</v>
      </c>
      <c r="C1532" t="s">
        <v>233</v>
      </c>
    </row>
    <row r="1533" spans="1:3" x14ac:dyDescent="0.2">
      <c r="A1533" t="str">
        <f>"02571"</f>
        <v>02571</v>
      </c>
      <c r="B1533" t="s">
        <v>1847</v>
      </c>
      <c r="C1533" t="s">
        <v>137</v>
      </c>
    </row>
    <row r="1534" spans="1:3" x14ac:dyDescent="0.2">
      <c r="A1534" t="str">
        <f>"02573"</f>
        <v>02573</v>
      </c>
      <c r="B1534" t="s">
        <v>1848</v>
      </c>
      <c r="C1534" t="s">
        <v>68</v>
      </c>
    </row>
    <row r="1535" spans="1:3" x14ac:dyDescent="0.2">
      <c r="A1535" t="str">
        <f>"02575"</f>
        <v>02575</v>
      </c>
      <c r="B1535" t="s">
        <v>828</v>
      </c>
      <c r="C1535" t="s">
        <v>25</v>
      </c>
    </row>
    <row r="1536" spans="1:3" x14ac:dyDescent="0.2">
      <c r="A1536" t="str">
        <f>"02576"</f>
        <v>02576</v>
      </c>
      <c r="B1536" t="s">
        <v>1849</v>
      </c>
      <c r="C1536" t="s">
        <v>137</v>
      </c>
    </row>
    <row r="1537" spans="1:3" x14ac:dyDescent="0.2">
      <c r="A1537" t="str">
        <f>"02577"</f>
        <v>02577</v>
      </c>
      <c r="B1537" t="s">
        <v>136</v>
      </c>
      <c r="C1537" t="s">
        <v>135</v>
      </c>
    </row>
    <row r="1538" spans="1:3" x14ac:dyDescent="0.2">
      <c r="A1538" t="str">
        <f>"02579"</f>
        <v>02579</v>
      </c>
      <c r="B1538" t="s">
        <v>829</v>
      </c>
      <c r="C1538" t="s">
        <v>257</v>
      </c>
    </row>
    <row r="1539" spans="1:3" x14ac:dyDescent="0.2">
      <c r="A1539" t="str">
        <f>"02580"</f>
        <v>02580</v>
      </c>
      <c r="B1539" t="s">
        <v>830</v>
      </c>
      <c r="C1539" t="s">
        <v>120</v>
      </c>
    </row>
    <row r="1540" spans="1:3" x14ac:dyDescent="0.2">
      <c r="A1540" t="str">
        <f>"02581"</f>
        <v>02581</v>
      </c>
      <c r="B1540" t="s">
        <v>1850</v>
      </c>
      <c r="C1540" t="s">
        <v>911</v>
      </c>
    </row>
    <row r="1541" spans="1:3" x14ac:dyDescent="0.2">
      <c r="A1541" t="str">
        <f>"02582"</f>
        <v>02582</v>
      </c>
      <c r="B1541" t="s">
        <v>249</v>
      </c>
      <c r="C1541" t="s">
        <v>233</v>
      </c>
    </row>
    <row r="1542" spans="1:3" x14ac:dyDescent="0.2">
      <c r="A1542" t="str">
        <f>"02583"</f>
        <v>02583</v>
      </c>
      <c r="B1542" t="s">
        <v>831</v>
      </c>
      <c r="C1542" t="s">
        <v>112</v>
      </c>
    </row>
    <row r="1543" spans="1:3" x14ac:dyDescent="0.2">
      <c r="A1543" t="str">
        <f>"02585"</f>
        <v>02585</v>
      </c>
      <c r="B1543" t="s">
        <v>1851</v>
      </c>
      <c r="C1543" t="s">
        <v>81</v>
      </c>
    </row>
    <row r="1544" spans="1:3" x14ac:dyDescent="0.2">
      <c r="A1544" t="str">
        <f>"02586"</f>
        <v>02586</v>
      </c>
      <c r="B1544" t="s">
        <v>147</v>
      </c>
      <c r="C1544" t="s">
        <v>137</v>
      </c>
    </row>
    <row r="1545" spans="1:3" x14ac:dyDescent="0.2">
      <c r="A1545" t="str">
        <f>"02587"</f>
        <v>02587</v>
      </c>
      <c r="B1545" t="s">
        <v>16</v>
      </c>
      <c r="C1545" t="s">
        <v>911</v>
      </c>
    </row>
    <row r="1546" spans="1:3" x14ac:dyDescent="0.2">
      <c r="A1546" t="str">
        <f>"02588"</f>
        <v>02588</v>
      </c>
      <c r="B1546" t="s">
        <v>109</v>
      </c>
      <c r="C1546" t="s">
        <v>101</v>
      </c>
    </row>
    <row r="1547" spans="1:3" x14ac:dyDescent="0.2">
      <c r="A1547" t="str">
        <f>"02589"</f>
        <v>02589</v>
      </c>
      <c r="B1547" t="s">
        <v>69</v>
      </c>
      <c r="C1547" t="s">
        <v>68</v>
      </c>
    </row>
    <row r="1548" spans="1:3" x14ac:dyDescent="0.2">
      <c r="A1548" t="str">
        <f>"02590"</f>
        <v>02590</v>
      </c>
      <c r="B1548" t="s">
        <v>832</v>
      </c>
      <c r="C1548" t="s">
        <v>137</v>
      </c>
    </row>
    <row r="1549" spans="1:3" x14ac:dyDescent="0.2">
      <c r="A1549" t="str">
        <f>"02591"</f>
        <v>02591</v>
      </c>
      <c r="B1549" t="s">
        <v>833</v>
      </c>
      <c r="C1549" t="s">
        <v>25</v>
      </c>
    </row>
    <row r="1550" spans="1:3" x14ac:dyDescent="0.2">
      <c r="A1550" t="str">
        <f>"02592"</f>
        <v>02592</v>
      </c>
      <c r="B1550" t="s">
        <v>834</v>
      </c>
      <c r="C1550" t="s">
        <v>25</v>
      </c>
    </row>
    <row r="1551" spans="1:3" x14ac:dyDescent="0.2">
      <c r="A1551" t="str">
        <f>"02593"</f>
        <v>02593</v>
      </c>
      <c r="B1551" t="s">
        <v>1852</v>
      </c>
      <c r="C1551" t="s">
        <v>911</v>
      </c>
    </row>
    <row r="1552" spans="1:3" x14ac:dyDescent="0.2">
      <c r="A1552" t="str">
        <f>"02595"</f>
        <v>02595</v>
      </c>
      <c r="B1552" t="s">
        <v>835</v>
      </c>
      <c r="C1552" t="s">
        <v>25</v>
      </c>
    </row>
    <row r="1553" spans="1:3" x14ac:dyDescent="0.2">
      <c r="A1553" t="str">
        <f>"02596"</f>
        <v>02596</v>
      </c>
      <c r="B1553" t="s">
        <v>1853</v>
      </c>
      <c r="C1553" t="s">
        <v>196</v>
      </c>
    </row>
    <row r="1554" spans="1:3" x14ac:dyDescent="0.2">
      <c r="A1554" t="str">
        <f>"02597"</f>
        <v>02597</v>
      </c>
      <c r="B1554" t="s">
        <v>1854</v>
      </c>
      <c r="C1554" t="s">
        <v>215</v>
      </c>
    </row>
    <row r="1555" spans="1:3" x14ac:dyDescent="0.2">
      <c r="A1555" t="str">
        <f>"02598"</f>
        <v>02598</v>
      </c>
      <c r="B1555" t="s">
        <v>174</v>
      </c>
      <c r="C1555" t="s">
        <v>171</v>
      </c>
    </row>
    <row r="1556" spans="1:3" x14ac:dyDescent="0.2">
      <c r="A1556" t="str">
        <f>"02600"</f>
        <v>02600</v>
      </c>
      <c r="B1556" t="s">
        <v>271</v>
      </c>
      <c r="C1556" t="s">
        <v>264</v>
      </c>
    </row>
    <row r="1557" spans="1:3" x14ac:dyDescent="0.2">
      <c r="A1557" t="str">
        <f>"02601"</f>
        <v>02601</v>
      </c>
      <c r="B1557" t="s">
        <v>192</v>
      </c>
      <c r="C1557" t="s">
        <v>188</v>
      </c>
    </row>
    <row r="1558" spans="1:3" x14ac:dyDescent="0.2">
      <c r="A1558" t="str">
        <f>"02602"</f>
        <v>02602</v>
      </c>
      <c r="B1558" t="s">
        <v>168</v>
      </c>
      <c r="C1558" t="s">
        <v>163</v>
      </c>
    </row>
    <row r="1559" spans="1:3" x14ac:dyDescent="0.2">
      <c r="A1559" t="str">
        <f>"02603"</f>
        <v>02603</v>
      </c>
      <c r="B1559" t="s">
        <v>88</v>
      </c>
      <c r="C1559" t="s">
        <v>81</v>
      </c>
    </row>
    <row r="1560" spans="1:3" x14ac:dyDescent="0.2">
      <c r="A1560" t="str">
        <f>"02605"</f>
        <v>02605</v>
      </c>
      <c r="B1560" t="s">
        <v>1855</v>
      </c>
      <c r="C1560" t="s">
        <v>97</v>
      </c>
    </row>
    <row r="1561" spans="1:3" x14ac:dyDescent="0.2">
      <c r="A1561" t="str">
        <f>"02607"</f>
        <v>02607</v>
      </c>
      <c r="B1561" t="s">
        <v>51</v>
      </c>
      <c r="C1561" t="s">
        <v>25</v>
      </c>
    </row>
    <row r="1562" spans="1:3" x14ac:dyDescent="0.2">
      <c r="A1562" t="str">
        <f>"02609"</f>
        <v>02609</v>
      </c>
      <c r="B1562" t="s">
        <v>836</v>
      </c>
      <c r="C1562" t="s">
        <v>911</v>
      </c>
    </row>
    <row r="1563" spans="1:3" x14ac:dyDescent="0.2">
      <c r="A1563" t="str">
        <f>"02610"</f>
        <v>02610</v>
      </c>
      <c r="B1563" t="s">
        <v>265</v>
      </c>
      <c r="C1563" t="s">
        <v>264</v>
      </c>
    </row>
    <row r="1564" spans="1:3" x14ac:dyDescent="0.2">
      <c r="A1564" t="str">
        <f>"02611"</f>
        <v>02611</v>
      </c>
      <c r="B1564" t="s">
        <v>187</v>
      </c>
      <c r="C1564" t="s">
        <v>171</v>
      </c>
    </row>
    <row r="1565" spans="1:3" x14ac:dyDescent="0.2">
      <c r="A1565" t="str">
        <f>"02613"</f>
        <v>02613</v>
      </c>
      <c r="B1565" t="s">
        <v>1856</v>
      </c>
      <c r="C1565" t="s">
        <v>233</v>
      </c>
    </row>
    <row r="1566" spans="1:3" x14ac:dyDescent="0.2">
      <c r="A1566" t="str">
        <f>"02616"</f>
        <v>02616</v>
      </c>
      <c r="B1566" t="s">
        <v>50</v>
      </c>
      <c r="C1566" t="s">
        <v>25</v>
      </c>
    </row>
    <row r="1567" spans="1:3" x14ac:dyDescent="0.2">
      <c r="A1567" t="str">
        <f>"02617"</f>
        <v>02617</v>
      </c>
      <c r="B1567" t="s">
        <v>837</v>
      </c>
      <c r="C1567" t="s">
        <v>25</v>
      </c>
    </row>
    <row r="1568" spans="1:3" x14ac:dyDescent="0.2">
      <c r="A1568" t="str">
        <f>"02618"</f>
        <v>02618</v>
      </c>
      <c r="B1568" t="s">
        <v>219</v>
      </c>
      <c r="C1568" t="s">
        <v>217</v>
      </c>
    </row>
    <row r="1569" spans="1:3" x14ac:dyDescent="0.2">
      <c r="A1569" t="str">
        <f>"02619"</f>
        <v>02619</v>
      </c>
      <c r="B1569" t="s">
        <v>838</v>
      </c>
      <c r="C1569" t="s">
        <v>120</v>
      </c>
    </row>
    <row r="1570" spans="1:3" x14ac:dyDescent="0.2">
      <c r="A1570" t="str">
        <f>"02621"</f>
        <v>02621</v>
      </c>
      <c r="B1570" t="s">
        <v>1857</v>
      </c>
      <c r="C1570" t="s">
        <v>188</v>
      </c>
    </row>
    <row r="1571" spans="1:3" x14ac:dyDescent="0.2">
      <c r="A1571" t="str">
        <f>"02623"</f>
        <v>02623</v>
      </c>
      <c r="B1571" t="s">
        <v>1858</v>
      </c>
      <c r="C1571" t="s">
        <v>264</v>
      </c>
    </row>
    <row r="1572" spans="1:3" x14ac:dyDescent="0.2">
      <c r="A1572" t="str">
        <f>"02625"</f>
        <v>02625</v>
      </c>
      <c r="B1572" t="s">
        <v>64</v>
      </c>
      <c r="C1572" t="s">
        <v>63</v>
      </c>
    </row>
    <row r="1573" spans="1:3" x14ac:dyDescent="0.2">
      <c r="A1573" t="str">
        <f>"02627"</f>
        <v>02627</v>
      </c>
      <c r="B1573" t="s">
        <v>839</v>
      </c>
      <c r="C1573" t="s">
        <v>25</v>
      </c>
    </row>
    <row r="1574" spans="1:3" x14ac:dyDescent="0.2">
      <c r="A1574" t="str">
        <f>"02628"</f>
        <v>02628</v>
      </c>
      <c r="B1574" t="s">
        <v>191</v>
      </c>
      <c r="C1574" t="s">
        <v>188</v>
      </c>
    </row>
    <row r="1575" spans="1:3" x14ac:dyDescent="0.2">
      <c r="A1575" t="str">
        <f>"02629"</f>
        <v>02629</v>
      </c>
      <c r="B1575" t="s">
        <v>840</v>
      </c>
      <c r="C1575" t="s">
        <v>25</v>
      </c>
    </row>
    <row r="1576" spans="1:3" x14ac:dyDescent="0.2">
      <c r="A1576" t="str">
        <f>"02630"</f>
        <v>02630</v>
      </c>
      <c r="B1576" t="s">
        <v>841</v>
      </c>
      <c r="C1576" t="s">
        <v>25</v>
      </c>
    </row>
    <row r="1577" spans="1:3" x14ac:dyDescent="0.2">
      <c r="A1577" t="str">
        <f>"02631"</f>
        <v>02631</v>
      </c>
      <c r="B1577" t="s">
        <v>842</v>
      </c>
      <c r="C1577" t="s">
        <v>135</v>
      </c>
    </row>
    <row r="1578" spans="1:3" x14ac:dyDescent="0.2">
      <c r="A1578" t="str">
        <f>"02632"</f>
        <v>02632</v>
      </c>
      <c r="B1578" t="s">
        <v>1859</v>
      </c>
      <c r="C1578" t="s">
        <v>127</v>
      </c>
    </row>
    <row r="1579" spans="1:3" x14ac:dyDescent="0.2">
      <c r="A1579" t="str">
        <f>"02633"</f>
        <v>02633</v>
      </c>
      <c r="B1579" t="s">
        <v>1860</v>
      </c>
      <c r="C1579" t="s">
        <v>25</v>
      </c>
    </row>
    <row r="1580" spans="1:3" x14ac:dyDescent="0.2">
      <c r="A1580" t="str">
        <f>"02635"</f>
        <v>02635</v>
      </c>
      <c r="B1580" t="s">
        <v>1861</v>
      </c>
      <c r="C1580" t="s">
        <v>137</v>
      </c>
    </row>
    <row r="1581" spans="1:3" x14ac:dyDescent="0.2">
      <c r="A1581" t="str">
        <f>"02637"</f>
        <v>02637</v>
      </c>
      <c r="B1581" t="s">
        <v>843</v>
      </c>
      <c r="C1581" t="s">
        <v>25</v>
      </c>
    </row>
    <row r="1582" spans="1:3" x14ac:dyDescent="0.2">
      <c r="A1582" t="str">
        <f>"02638"</f>
        <v>02638</v>
      </c>
      <c r="B1582" t="s">
        <v>209</v>
      </c>
      <c r="C1582" t="s">
        <v>208</v>
      </c>
    </row>
    <row r="1583" spans="1:3" x14ac:dyDescent="0.2">
      <c r="A1583" t="str">
        <f>"02643"</f>
        <v>02643</v>
      </c>
      <c r="B1583" t="s">
        <v>844</v>
      </c>
      <c r="C1583" t="s">
        <v>101</v>
      </c>
    </row>
    <row r="1584" spans="1:3" x14ac:dyDescent="0.2">
      <c r="A1584" t="str">
        <f>"02648"</f>
        <v>02648</v>
      </c>
      <c r="B1584" t="s">
        <v>845</v>
      </c>
      <c r="C1584" t="s">
        <v>68</v>
      </c>
    </row>
    <row r="1585" spans="1:3" x14ac:dyDescent="0.2">
      <c r="A1585" t="str">
        <f>"02649"</f>
        <v>02649</v>
      </c>
      <c r="B1585" t="s">
        <v>1862</v>
      </c>
      <c r="C1585" t="s">
        <v>217</v>
      </c>
    </row>
    <row r="1586" spans="1:3" x14ac:dyDescent="0.2">
      <c r="A1586" t="str">
        <f>"02650"</f>
        <v>02650</v>
      </c>
      <c r="B1586" t="s">
        <v>846</v>
      </c>
      <c r="C1586" t="s">
        <v>233</v>
      </c>
    </row>
    <row r="1587" spans="1:3" x14ac:dyDescent="0.2">
      <c r="A1587" t="str">
        <f>"02651"</f>
        <v>02651</v>
      </c>
      <c r="B1587" t="s">
        <v>1863</v>
      </c>
      <c r="C1587" t="s">
        <v>911</v>
      </c>
    </row>
    <row r="1588" spans="1:3" x14ac:dyDescent="0.2">
      <c r="A1588" t="str">
        <f>"02652"</f>
        <v>02652</v>
      </c>
      <c r="B1588" t="s">
        <v>847</v>
      </c>
      <c r="C1588" t="s">
        <v>25</v>
      </c>
    </row>
    <row r="1589" spans="1:3" x14ac:dyDescent="0.2">
      <c r="A1589" t="str">
        <f>"02655"</f>
        <v>02655</v>
      </c>
      <c r="B1589" t="s">
        <v>1864</v>
      </c>
      <c r="C1589" t="s">
        <v>233</v>
      </c>
    </row>
    <row r="1590" spans="1:3" x14ac:dyDescent="0.2">
      <c r="A1590" t="str">
        <f>"02656"</f>
        <v>02656</v>
      </c>
      <c r="B1590" t="s">
        <v>848</v>
      </c>
      <c r="C1590" t="s">
        <v>25</v>
      </c>
    </row>
    <row r="1591" spans="1:3" x14ac:dyDescent="0.2">
      <c r="A1591" t="str">
        <f>"02657"</f>
        <v>02657</v>
      </c>
      <c r="B1591" t="s">
        <v>1865</v>
      </c>
      <c r="C1591" t="s">
        <v>911</v>
      </c>
    </row>
    <row r="1592" spans="1:3" x14ac:dyDescent="0.2">
      <c r="A1592" t="str">
        <f>"02658"</f>
        <v>02658</v>
      </c>
      <c r="B1592" t="s">
        <v>849</v>
      </c>
      <c r="C1592" t="s">
        <v>135</v>
      </c>
    </row>
    <row r="1593" spans="1:3" x14ac:dyDescent="0.2">
      <c r="A1593" t="str">
        <f>"02659"</f>
        <v>02659</v>
      </c>
      <c r="B1593" t="s">
        <v>1866</v>
      </c>
      <c r="C1593" t="s">
        <v>25</v>
      </c>
    </row>
    <row r="1594" spans="1:3" x14ac:dyDescent="0.2">
      <c r="A1594" t="str">
        <f>"02660"</f>
        <v>02660</v>
      </c>
      <c r="B1594" t="s">
        <v>1867</v>
      </c>
      <c r="C1594" t="s">
        <v>137</v>
      </c>
    </row>
    <row r="1595" spans="1:3" x14ac:dyDescent="0.2">
      <c r="A1595" t="str">
        <f>"02661"</f>
        <v>02661</v>
      </c>
      <c r="B1595" t="s">
        <v>1868</v>
      </c>
      <c r="C1595" t="s">
        <v>97</v>
      </c>
    </row>
    <row r="1596" spans="1:3" x14ac:dyDescent="0.2">
      <c r="A1596" t="str">
        <f>"02663"</f>
        <v>02663</v>
      </c>
      <c r="B1596" t="s">
        <v>1869</v>
      </c>
      <c r="C1596" t="s">
        <v>162</v>
      </c>
    </row>
    <row r="1597" spans="1:3" x14ac:dyDescent="0.2">
      <c r="A1597" t="str">
        <f>"02665"</f>
        <v>02665</v>
      </c>
      <c r="B1597" t="s">
        <v>1870</v>
      </c>
      <c r="C1597" t="s">
        <v>137</v>
      </c>
    </row>
    <row r="1598" spans="1:3" x14ac:dyDescent="0.2">
      <c r="A1598" t="str">
        <f>"02666"</f>
        <v>02666</v>
      </c>
      <c r="B1598" t="s">
        <v>15</v>
      </c>
      <c r="C1598" t="s">
        <v>911</v>
      </c>
    </row>
    <row r="1599" spans="1:3" x14ac:dyDescent="0.2">
      <c r="A1599" t="str">
        <f>"02668"</f>
        <v>02668</v>
      </c>
      <c r="B1599" t="s">
        <v>1871</v>
      </c>
      <c r="C1599" t="s">
        <v>217</v>
      </c>
    </row>
    <row r="1600" spans="1:3" x14ac:dyDescent="0.2">
      <c r="A1600" t="str">
        <f>"02669"</f>
        <v>02669</v>
      </c>
      <c r="B1600" t="s">
        <v>167</v>
      </c>
      <c r="C1600" t="s">
        <v>163</v>
      </c>
    </row>
    <row r="1601" spans="1:3" x14ac:dyDescent="0.2">
      <c r="A1601" t="str">
        <f>"02670"</f>
        <v>02670</v>
      </c>
      <c r="B1601" t="s">
        <v>850</v>
      </c>
      <c r="C1601" t="s">
        <v>137</v>
      </c>
    </row>
    <row r="1602" spans="1:3" x14ac:dyDescent="0.2">
      <c r="A1602" t="str">
        <f>"02671"</f>
        <v>02671</v>
      </c>
      <c r="B1602" t="s">
        <v>1872</v>
      </c>
      <c r="C1602" t="s">
        <v>162</v>
      </c>
    </row>
    <row r="1603" spans="1:3" x14ac:dyDescent="0.2">
      <c r="A1603" t="str">
        <f>"02675"</f>
        <v>02675</v>
      </c>
      <c r="B1603" t="s">
        <v>1873</v>
      </c>
      <c r="C1603" t="s">
        <v>911</v>
      </c>
    </row>
    <row r="1604" spans="1:3" x14ac:dyDescent="0.2">
      <c r="A1604" t="str">
        <f>"02676"</f>
        <v>02676</v>
      </c>
      <c r="B1604" t="s">
        <v>1874</v>
      </c>
      <c r="C1604" t="s">
        <v>135</v>
      </c>
    </row>
    <row r="1605" spans="1:3" x14ac:dyDescent="0.2">
      <c r="A1605" t="str">
        <f>"02677"</f>
        <v>02677</v>
      </c>
      <c r="B1605" t="s">
        <v>1875</v>
      </c>
      <c r="C1605" t="s">
        <v>911</v>
      </c>
    </row>
    <row r="1606" spans="1:3" x14ac:dyDescent="0.2">
      <c r="A1606" t="str">
        <f>"02678"</f>
        <v>02678</v>
      </c>
      <c r="B1606" t="s">
        <v>1876</v>
      </c>
      <c r="C1606" t="s">
        <v>112</v>
      </c>
    </row>
    <row r="1607" spans="1:3" x14ac:dyDescent="0.2">
      <c r="A1607" t="str">
        <f>"02680"</f>
        <v>02680</v>
      </c>
      <c r="B1607" t="s">
        <v>1877</v>
      </c>
      <c r="C1607" t="s">
        <v>171</v>
      </c>
    </row>
    <row r="1608" spans="1:3" x14ac:dyDescent="0.2">
      <c r="A1608" t="str">
        <f>"02682"</f>
        <v>02682</v>
      </c>
      <c r="B1608" t="s">
        <v>1878</v>
      </c>
      <c r="C1608" t="s">
        <v>220</v>
      </c>
    </row>
    <row r="1609" spans="1:3" x14ac:dyDescent="0.2">
      <c r="A1609" t="str">
        <f>"02683"</f>
        <v>02683</v>
      </c>
      <c r="B1609" t="s">
        <v>851</v>
      </c>
      <c r="C1609" t="s">
        <v>112</v>
      </c>
    </row>
    <row r="1610" spans="1:3" x14ac:dyDescent="0.2">
      <c r="A1610" t="str">
        <f>"02685"</f>
        <v>02685</v>
      </c>
      <c r="B1610" t="s">
        <v>852</v>
      </c>
      <c r="C1610" t="s">
        <v>81</v>
      </c>
    </row>
    <row r="1611" spans="1:3" x14ac:dyDescent="0.2">
      <c r="A1611" t="str">
        <f>"02687"</f>
        <v>02687</v>
      </c>
      <c r="B1611" t="s">
        <v>1879</v>
      </c>
      <c r="C1611" t="s">
        <v>137</v>
      </c>
    </row>
    <row r="1612" spans="1:3" x14ac:dyDescent="0.2">
      <c r="A1612" t="str">
        <f>"02688"</f>
        <v>02688</v>
      </c>
      <c r="B1612" t="s">
        <v>212</v>
      </c>
      <c r="C1612" t="s">
        <v>208</v>
      </c>
    </row>
    <row r="1613" spans="1:3" x14ac:dyDescent="0.2">
      <c r="A1613" t="str">
        <f>"02689"</f>
        <v>02689</v>
      </c>
      <c r="B1613" t="s">
        <v>261</v>
      </c>
      <c r="C1613" t="s">
        <v>257</v>
      </c>
    </row>
    <row r="1614" spans="1:3" x14ac:dyDescent="0.2">
      <c r="A1614" t="str">
        <f>"02691"</f>
        <v>02691</v>
      </c>
      <c r="B1614" t="s">
        <v>1880</v>
      </c>
      <c r="C1614" t="s">
        <v>171</v>
      </c>
    </row>
    <row r="1615" spans="1:3" x14ac:dyDescent="0.2">
      <c r="A1615" t="str">
        <f>"02692"</f>
        <v>02692</v>
      </c>
      <c r="B1615" t="s">
        <v>1881</v>
      </c>
      <c r="C1615" t="s">
        <v>233</v>
      </c>
    </row>
    <row r="1616" spans="1:3" x14ac:dyDescent="0.2">
      <c r="A1616" t="str">
        <f>"02696"</f>
        <v>02696</v>
      </c>
      <c r="B1616" t="s">
        <v>28</v>
      </c>
      <c r="C1616" t="s">
        <v>25</v>
      </c>
    </row>
    <row r="1617" spans="1:3" x14ac:dyDescent="0.2">
      <c r="A1617" t="str">
        <f>"02698"</f>
        <v>02698</v>
      </c>
      <c r="B1617" t="s">
        <v>853</v>
      </c>
      <c r="C1617" t="s">
        <v>63</v>
      </c>
    </row>
    <row r="1618" spans="1:3" x14ac:dyDescent="0.2">
      <c r="A1618" t="str">
        <f>"02699"</f>
        <v>02699</v>
      </c>
      <c r="B1618" t="s">
        <v>1882</v>
      </c>
      <c r="C1618" t="s">
        <v>163</v>
      </c>
    </row>
    <row r="1619" spans="1:3" x14ac:dyDescent="0.2">
      <c r="A1619" t="str">
        <f>"02700"</f>
        <v>02700</v>
      </c>
      <c r="B1619" t="s">
        <v>1883</v>
      </c>
      <c r="C1619" t="s">
        <v>911</v>
      </c>
    </row>
    <row r="1620" spans="1:3" x14ac:dyDescent="0.2">
      <c r="A1620" t="str">
        <f>"02701"</f>
        <v>02701</v>
      </c>
      <c r="B1620" t="s">
        <v>1884</v>
      </c>
      <c r="C1620" t="s">
        <v>135</v>
      </c>
    </row>
    <row r="1621" spans="1:3" x14ac:dyDescent="0.2">
      <c r="A1621" t="str">
        <f>"02706"</f>
        <v>02706</v>
      </c>
      <c r="B1621" t="s">
        <v>1885</v>
      </c>
      <c r="C1621" t="s">
        <v>137</v>
      </c>
    </row>
    <row r="1622" spans="1:3" x14ac:dyDescent="0.2">
      <c r="A1622" t="str">
        <f>"02714"</f>
        <v>02714</v>
      </c>
      <c r="B1622" t="s">
        <v>1886</v>
      </c>
      <c r="C1622" t="s">
        <v>66</v>
      </c>
    </row>
    <row r="1623" spans="1:3" x14ac:dyDescent="0.2">
      <c r="A1623" t="str">
        <f>"02715"</f>
        <v>02715</v>
      </c>
      <c r="B1623" t="s">
        <v>1887</v>
      </c>
      <c r="C1623" t="s">
        <v>233</v>
      </c>
    </row>
    <row r="1624" spans="1:3" x14ac:dyDescent="0.2">
      <c r="A1624" t="str">
        <f>"02718"</f>
        <v>02718</v>
      </c>
      <c r="B1624" t="s">
        <v>854</v>
      </c>
      <c r="C1624" t="s">
        <v>137</v>
      </c>
    </row>
    <row r="1625" spans="1:3" x14ac:dyDescent="0.2">
      <c r="A1625" t="str">
        <f>"02720"</f>
        <v>02720</v>
      </c>
      <c r="B1625" t="s">
        <v>1888</v>
      </c>
      <c r="C1625" t="s">
        <v>120</v>
      </c>
    </row>
    <row r="1626" spans="1:3" x14ac:dyDescent="0.2">
      <c r="A1626" t="str">
        <f>"02722"</f>
        <v>02722</v>
      </c>
      <c r="B1626" t="s">
        <v>235</v>
      </c>
      <c r="C1626" t="s">
        <v>233</v>
      </c>
    </row>
    <row r="1627" spans="1:3" x14ac:dyDescent="0.2">
      <c r="A1627" t="str">
        <f>"02723"</f>
        <v>02723</v>
      </c>
      <c r="B1627" t="s">
        <v>1889</v>
      </c>
      <c r="C1627" t="s">
        <v>97</v>
      </c>
    </row>
    <row r="1628" spans="1:3" x14ac:dyDescent="0.2">
      <c r="A1628" t="str">
        <f>"02726"</f>
        <v>02726</v>
      </c>
      <c r="B1628" t="s">
        <v>1890</v>
      </c>
      <c r="C1628" t="s">
        <v>135</v>
      </c>
    </row>
    <row r="1629" spans="1:3" x14ac:dyDescent="0.2">
      <c r="A1629" t="str">
        <f>"02727"</f>
        <v>02727</v>
      </c>
      <c r="B1629" t="s">
        <v>248</v>
      </c>
      <c r="C1629" t="s">
        <v>233</v>
      </c>
    </row>
    <row r="1630" spans="1:3" x14ac:dyDescent="0.2">
      <c r="A1630" t="str">
        <f>"02729"</f>
        <v>02729</v>
      </c>
      <c r="B1630" t="s">
        <v>1891</v>
      </c>
      <c r="C1630" t="s">
        <v>137</v>
      </c>
    </row>
    <row r="1631" spans="1:3" x14ac:dyDescent="0.2">
      <c r="A1631" t="str">
        <f>"02768"</f>
        <v>02768</v>
      </c>
      <c r="B1631" t="s">
        <v>1892</v>
      </c>
      <c r="C1631" t="s">
        <v>257</v>
      </c>
    </row>
    <row r="1632" spans="1:3" x14ac:dyDescent="0.2">
      <c r="A1632" t="str">
        <f>"02777"</f>
        <v>02777</v>
      </c>
      <c r="B1632" t="s">
        <v>855</v>
      </c>
      <c r="C1632" t="s">
        <v>163</v>
      </c>
    </row>
    <row r="1633" spans="1:3" x14ac:dyDescent="0.2">
      <c r="A1633" t="str">
        <f>"02779"</f>
        <v>02779</v>
      </c>
      <c r="B1633" t="s">
        <v>1893</v>
      </c>
      <c r="C1633" t="s">
        <v>89</v>
      </c>
    </row>
    <row r="1634" spans="1:3" x14ac:dyDescent="0.2">
      <c r="A1634" t="str">
        <f>"02788"</f>
        <v>02788</v>
      </c>
      <c r="B1634" t="s">
        <v>856</v>
      </c>
      <c r="C1634" t="s">
        <v>264</v>
      </c>
    </row>
    <row r="1635" spans="1:3" x14ac:dyDescent="0.2">
      <c r="A1635" t="str">
        <f>"02789"</f>
        <v>02789</v>
      </c>
      <c r="B1635" t="s">
        <v>1894</v>
      </c>
      <c r="C1635" t="s">
        <v>162</v>
      </c>
    </row>
    <row r="1636" spans="1:3" x14ac:dyDescent="0.2">
      <c r="A1636" t="str">
        <f>"02798"</f>
        <v>02798</v>
      </c>
      <c r="B1636" t="s">
        <v>857</v>
      </c>
      <c r="C1636" t="s">
        <v>912</v>
      </c>
    </row>
    <row r="1637" spans="1:3" x14ac:dyDescent="0.2">
      <c r="A1637" t="str">
        <f>"02799"</f>
        <v>02799</v>
      </c>
      <c r="B1637" t="s">
        <v>186</v>
      </c>
      <c r="C1637" t="s">
        <v>171</v>
      </c>
    </row>
    <row r="1638" spans="1:3" x14ac:dyDescent="0.2">
      <c r="A1638" t="str">
        <f>"02858"</f>
        <v>02858</v>
      </c>
      <c r="B1638" t="s">
        <v>185</v>
      </c>
      <c r="C1638" t="s">
        <v>171</v>
      </c>
    </row>
    <row r="1639" spans="1:3" x14ac:dyDescent="0.2">
      <c r="A1639" t="str">
        <f>"02863"</f>
        <v>02863</v>
      </c>
      <c r="B1639" t="s">
        <v>1895</v>
      </c>
      <c r="C1639" t="s">
        <v>162</v>
      </c>
    </row>
    <row r="1640" spans="1:3" x14ac:dyDescent="0.2">
      <c r="A1640" t="str">
        <f>"02865"</f>
        <v>02865</v>
      </c>
      <c r="B1640" t="s">
        <v>247</v>
      </c>
      <c r="C1640" t="s">
        <v>233</v>
      </c>
    </row>
    <row r="1641" spans="1:3" x14ac:dyDescent="0.2">
      <c r="A1641" t="str">
        <f>"02866"</f>
        <v>02866</v>
      </c>
      <c r="B1641" t="s">
        <v>229</v>
      </c>
      <c r="C1641" t="s">
        <v>220</v>
      </c>
    </row>
    <row r="1642" spans="1:3" x14ac:dyDescent="0.2">
      <c r="A1642" t="str">
        <f>"02869"</f>
        <v>02869</v>
      </c>
      <c r="B1642" t="s">
        <v>858</v>
      </c>
      <c r="C1642" t="s">
        <v>163</v>
      </c>
    </row>
    <row r="1643" spans="1:3" x14ac:dyDescent="0.2">
      <c r="A1643" t="str">
        <f>"02877"</f>
        <v>02877</v>
      </c>
      <c r="B1643" t="s">
        <v>49</v>
      </c>
      <c r="C1643" t="s">
        <v>25</v>
      </c>
    </row>
    <row r="1644" spans="1:3" x14ac:dyDescent="0.2">
      <c r="A1644" t="str">
        <f>"02878"</f>
        <v>02878</v>
      </c>
      <c r="B1644" t="s">
        <v>1896</v>
      </c>
      <c r="C1644" t="s">
        <v>135</v>
      </c>
    </row>
    <row r="1645" spans="1:3" x14ac:dyDescent="0.2">
      <c r="A1645" t="str">
        <f>"02880"</f>
        <v>02880</v>
      </c>
      <c r="B1645" t="s">
        <v>228</v>
      </c>
      <c r="C1645" t="s">
        <v>220</v>
      </c>
    </row>
    <row r="1646" spans="1:3" x14ac:dyDescent="0.2">
      <c r="A1646" t="str">
        <f>"02881"</f>
        <v>02881</v>
      </c>
      <c r="B1646" t="s">
        <v>1897</v>
      </c>
      <c r="C1646" t="s">
        <v>257</v>
      </c>
    </row>
    <row r="1647" spans="1:3" x14ac:dyDescent="0.2">
      <c r="A1647" t="str">
        <f>"02882"</f>
        <v>02882</v>
      </c>
      <c r="B1647" t="s">
        <v>1898</v>
      </c>
      <c r="C1647" t="s">
        <v>81</v>
      </c>
    </row>
    <row r="1648" spans="1:3" x14ac:dyDescent="0.2">
      <c r="A1648" t="str">
        <f>"02883"</f>
        <v>02883</v>
      </c>
      <c r="B1648" t="s">
        <v>279</v>
      </c>
      <c r="C1648" t="s">
        <v>277</v>
      </c>
    </row>
    <row r="1649" spans="1:3" x14ac:dyDescent="0.2">
      <c r="A1649" t="str">
        <f>"02885"</f>
        <v>02885</v>
      </c>
      <c r="B1649" t="s">
        <v>1899</v>
      </c>
      <c r="C1649" t="s">
        <v>233</v>
      </c>
    </row>
    <row r="1650" spans="1:3" x14ac:dyDescent="0.2">
      <c r="A1650" t="str">
        <f>"02886"</f>
        <v>02886</v>
      </c>
      <c r="B1650" t="s">
        <v>1900</v>
      </c>
      <c r="C1650" t="s">
        <v>208</v>
      </c>
    </row>
    <row r="1651" spans="1:3" x14ac:dyDescent="0.2">
      <c r="A1651" t="str">
        <f>"02888"</f>
        <v>02888</v>
      </c>
      <c r="B1651" t="s">
        <v>205</v>
      </c>
      <c r="C1651" t="s">
        <v>196</v>
      </c>
    </row>
    <row r="1652" spans="1:3" x14ac:dyDescent="0.2">
      <c r="A1652" t="str">
        <f>"02889"</f>
        <v>02889</v>
      </c>
      <c r="B1652" t="s">
        <v>859</v>
      </c>
      <c r="C1652" t="s">
        <v>127</v>
      </c>
    </row>
    <row r="1653" spans="1:3" x14ac:dyDescent="0.2">
      <c r="A1653" t="str">
        <f>"02892"</f>
        <v>02892</v>
      </c>
      <c r="B1653" t="s">
        <v>1901</v>
      </c>
      <c r="C1653" t="s">
        <v>163</v>
      </c>
    </row>
    <row r="1654" spans="1:3" x14ac:dyDescent="0.2">
      <c r="A1654" t="str">
        <f>"02898"</f>
        <v>02898</v>
      </c>
      <c r="B1654" t="s">
        <v>1902</v>
      </c>
      <c r="C1654" t="s">
        <v>25</v>
      </c>
    </row>
    <row r="1655" spans="1:3" x14ac:dyDescent="0.2">
      <c r="A1655" t="str">
        <f>"02899"</f>
        <v>02899</v>
      </c>
      <c r="B1655" t="s">
        <v>275</v>
      </c>
      <c r="C1655" t="s">
        <v>272</v>
      </c>
    </row>
    <row r="1656" spans="1:3" x14ac:dyDescent="0.2">
      <c r="A1656" t="str">
        <f>"02950"</f>
        <v>02950</v>
      </c>
      <c r="B1656" t="s">
        <v>1903</v>
      </c>
      <c r="C1656" t="s">
        <v>233</v>
      </c>
    </row>
    <row r="1657" spans="1:3" x14ac:dyDescent="0.2">
      <c r="A1657" t="str">
        <f>"02951"</f>
        <v>02951</v>
      </c>
      <c r="B1657" t="s">
        <v>1904</v>
      </c>
      <c r="C1657" t="s">
        <v>911</v>
      </c>
    </row>
    <row r="1658" spans="1:3" x14ac:dyDescent="0.2">
      <c r="A1658" t="str">
        <f>"02957"</f>
        <v>02957</v>
      </c>
      <c r="B1658" t="s">
        <v>1905</v>
      </c>
      <c r="C1658" t="s">
        <v>171</v>
      </c>
    </row>
    <row r="1659" spans="1:3" x14ac:dyDescent="0.2">
      <c r="A1659" t="str">
        <f>"02958"</f>
        <v>02958</v>
      </c>
      <c r="B1659" t="s">
        <v>1906</v>
      </c>
      <c r="C1659" t="s">
        <v>220</v>
      </c>
    </row>
    <row r="1660" spans="1:3" x14ac:dyDescent="0.2">
      <c r="A1660" t="str">
        <f>"02962"</f>
        <v>02962</v>
      </c>
      <c r="B1660" t="s">
        <v>1907</v>
      </c>
      <c r="C1660" t="s">
        <v>163</v>
      </c>
    </row>
    <row r="1661" spans="1:3" x14ac:dyDescent="0.2">
      <c r="A1661" t="str">
        <f>"02965"</f>
        <v>02965</v>
      </c>
      <c r="B1661" t="s">
        <v>1908</v>
      </c>
      <c r="C1661" t="s">
        <v>233</v>
      </c>
    </row>
    <row r="1662" spans="1:3" x14ac:dyDescent="0.2">
      <c r="A1662" t="str">
        <f>"03200"</f>
        <v>03200</v>
      </c>
      <c r="B1662" t="s">
        <v>1909</v>
      </c>
      <c r="C1662" t="s">
        <v>233</v>
      </c>
    </row>
    <row r="1663" spans="1:3" x14ac:dyDescent="0.2">
      <c r="A1663" t="str">
        <f>"03268"</f>
        <v>03268</v>
      </c>
      <c r="B1663" t="s">
        <v>1910</v>
      </c>
      <c r="C1663" t="s">
        <v>154</v>
      </c>
    </row>
    <row r="1664" spans="1:3" x14ac:dyDescent="0.2">
      <c r="A1664" t="str">
        <f>"03277"</f>
        <v>03277</v>
      </c>
      <c r="B1664" t="s">
        <v>1911</v>
      </c>
      <c r="C1664" t="s">
        <v>233</v>
      </c>
    </row>
    <row r="1665" spans="1:3" x14ac:dyDescent="0.2">
      <c r="A1665" t="str">
        <f>"03288"</f>
        <v>03288</v>
      </c>
      <c r="B1665" t="s">
        <v>860</v>
      </c>
      <c r="C1665" t="s">
        <v>68</v>
      </c>
    </row>
    <row r="1666" spans="1:3" x14ac:dyDescent="0.2">
      <c r="A1666" t="str">
        <f>"03296"</f>
        <v>03296</v>
      </c>
      <c r="B1666" t="s">
        <v>1912</v>
      </c>
      <c r="C1666" t="s">
        <v>154</v>
      </c>
    </row>
    <row r="1667" spans="1:3" x14ac:dyDescent="0.2">
      <c r="A1667" t="str">
        <f>"03300"</f>
        <v>03300</v>
      </c>
      <c r="B1667" t="s">
        <v>861</v>
      </c>
      <c r="C1667" t="s">
        <v>233</v>
      </c>
    </row>
    <row r="1668" spans="1:3" x14ac:dyDescent="0.2">
      <c r="A1668" t="str">
        <f>"03302"</f>
        <v>03302</v>
      </c>
      <c r="B1668" t="s">
        <v>1913</v>
      </c>
      <c r="C1668" t="s">
        <v>233</v>
      </c>
    </row>
    <row r="1669" spans="1:3" x14ac:dyDescent="0.2">
      <c r="A1669" t="str">
        <f>"03303"</f>
        <v>03303</v>
      </c>
      <c r="B1669" t="s">
        <v>1914</v>
      </c>
      <c r="C1669" t="s">
        <v>277</v>
      </c>
    </row>
    <row r="1670" spans="1:3" x14ac:dyDescent="0.2">
      <c r="A1670" t="str">
        <f>"03306"</f>
        <v>03306</v>
      </c>
      <c r="B1670" t="s">
        <v>116</v>
      </c>
      <c r="C1670" t="s">
        <v>112</v>
      </c>
    </row>
    <row r="1671" spans="1:3" x14ac:dyDescent="0.2">
      <c r="A1671" t="str">
        <f>"03309"</f>
        <v>03309</v>
      </c>
      <c r="B1671" t="s">
        <v>14</v>
      </c>
      <c r="C1671" t="s">
        <v>911</v>
      </c>
    </row>
    <row r="1672" spans="1:3" x14ac:dyDescent="0.2">
      <c r="A1672" t="str">
        <f>"03310"</f>
        <v>03310</v>
      </c>
      <c r="B1672" t="s">
        <v>1915</v>
      </c>
      <c r="C1672" t="s">
        <v>135</v>
      </c>
    </row>
    <row r="1673" spans="1:3" x14ac:dyDescent="0.2">
      <c r="A1673" t="str">
        <f>"03311"</f>
        <v>03311</v>
      </c>
      <c r="B1673" t="s">
        <v>161</v>
      </c>
      <c r="C1673" t="s">
        <v>162</v>
      </c>
    </row>
    <row r="1674" spans="1:3" x14ac:dyDescent="0.2">
      <c r="A1674" t="str">
        <f>"03315"</f>
        <v>03315</v>
      </c>
      <c r="B1674" t="s">
        <v>1916</v>
      </c>
      <c r="C1674" t="s">
        <v>137</v>
      </c>
    </row>
    <row r="1675" spans="1:3" x14ac:dyDescent="0.2">
      <c r="A1675" t="str">
        <f>"03316"</f>
        <v>03316</v>
      </c>
      <c r="B1675" t="s">
        <v>862</v>
      </c>
      <c r="C1675" t="s">
        <v>163</v>
      </c>
    </row>
    <row r="1676" spans="1:3" x14ac:dyDescent="0.2">
      <c r="A1676" t="str">
        <f>"03317"</f>
        <v>03317</v>
      </c>
      <c r="B1676" t="s">
        <v>1917</v>
      </c>
      <c r="C1676" t="s">
        <v>137</v>
      </c>
    </row>
    <row r="1677" spans="1:3" x14ac:dyDescent="0.2">
      <c r="A1677" t="str">
        <f>"03318"</f>
        <v>03318</v>
      </c>
      <c r="B1677" t="s">
        <v>1918</v>
      </c>
      <c r="C1677" t="s">
        <v>68</v>
      </c>
    </row>
    <row r="1678" spans="1:3" x14ac:dyDescent="0.2">
      <c r="A1678" t="str">
        <f>"03319"</f>
        <v>03319</v>
      </c>
      <c r="B1678" t="s">
        <v>863</v>
      </c>
      <c r="C1678" t="s">
        <v>163</v>
      </c>
    </row>
    <row r="1679" spans="1:3" x14ac:dyDescent="0.2">
      <c r="A1679" t="str">
        <f>"03320"</f>
        <v>03320</v>
      </c>
      <c r="B1679" t="s">
        <v>48</v>
      </c>
      <c r="C1679" t="s">
        <v>25</v>
      </c>
    </row>
    <row r="1680" spans="1:3" x14ac:dyDescent="0.2">
      <c r="A1680" t="str">
        <f>"03321"</f>
        <v>03321</v>
      </c>
      <c r="B1680" t="s">
        <v>1919</v>
      </c>
      <c r="C1680" t="s">
        <v>162</v>
      </c>
    </row>
    <row r="1681" spans="1:3" x14ac:dyDescent="0.2">
      <c r="A1681" t="str">
        <f>"03322"</f>
        <v>03322</v>
      </c>
      <c r="B1681" t="s">
        <v>1920</v>
      </c>
      <c r="C1681" t="s">
        <v>112</v>
      </c>
    </row>
    <row r="1682" spans="1:3" x14ac:dyDescent="0.2">
      <c r="A1682" t="str">
        <f>"03323"</f>
        <v>03323</v>
      </c>
      <c r="B1682" t="s">
        <v>864</v>
      </c>
      <c r="C1682" t="s">
        <v>162</v>
      </c>
    </row>
    <row r="1683" spans="1:3" x14ac:dyDescent="0.2">
      <c r="A1683" t="str">
        <f>"03328"</f>
        <v>03328</v>
      </c>
      <c r="B1683" t="s">
        <v>204</v>
      </c>
      <c r="C1683" t="s">
        <v>196</v>
      </c>
    </row>
    <row r="1684" spans="1:3" x14ac:dyDescent="0.2">
      <c r="A1684" t="str">
        <f>"03329"</f>
        <v>03329</v>
      </c>
      <c r="B1684" t="s">
        <v>1921</v>
      </c>
      <c r="C1684" t="s">
        <v>171</v>
      </c>
    </row>
    <row r="1685" spans="1:3" x14ac:dyDescent="0.2">
      <c r="A1685" t="str">
        <f>"03330"</f>
        <v>03330</v>
      </c>
      <c r="B1685" t="s">
        <v>273</v>
      </c>
      <c r="C1685" t="s">
        <v>272</v>
      </c>
    </row>
    <row r="1686" spans="1:3" x14ac:dyDescent="0.2">
      <c r="A1686" t="str">
        <f>"03332"</f>
        <v>03332</v>
      </c>
      <c r="B1686" t="s">
        <v>1922</v>
      </c>
      <c r="C1686" t="s">
        <v>911</v>
      </c>
    </row>
    <row r="1687" spans="1:3" x14ac:dyDescent="0.2">
      <c r="A1687" t="str">
        <f>"03336"</f>
        <v>03336</v>
      </c>
      <c r="B1687" t="s">
        <v>157</v>
      </c>
      <c r="C1687" t="s">
        <v>154</v>
      </c>
    </row>
    <row r="1688" spans="1:3" x14ac:dyDescent="0.2">
      <c r="A1688" t="str">
        <f>"03337"</f>
        <v>03337</v>
      </c>
      <c r="B1688" t="s">
        <v>276</v>
      </c>
      <c r="C1688" t="s">
        <v>277</v>
      </c>
    </row>
    <row r="1689" spans="1:3" x14ac:dyDescent="0.2">
      <c r="A1689" t="str">
        <f>"03339"</f>
        <v>03339</v>
      </c>
      <c r="B1689" t="s">
        <v>246</v>
      </c>
      <c r="C1689" t="s">
        <v>233</v>
      </c>
    </row>
    <row r="1690" spans="1:3" x14ac:dyDescent="0.2">
      <c r="A1690" t="str">
        <f>"03347"</f>
        <v>03347</v>
      </c>
      <c r="B1690" t="s">
        <v>47</v>
      </c>
      <c r="C1690" t="s">
        <v>25</v>
      </c>
    </row>
    <row r="1691" spans="1:3" x14ac:dyDescent="0.2">
      <c r="A1691" t="str">
        <f>"03348"</f>
        <v>03348</v>
      </c>
      <c r="B1691" t="s">
        <v>1923</v>
      </c>
      <c r="C1691" t="s">
        <v>233</v>
      </c>
    </row>
    <row r="1692" spans="1:3" x14ac:dyDescent="0.2">
      <c r="A1692" t="str">
        <f>"03355"</f>
        <v>03355</v>
      </c>
      <c r="B1692" t="s">
        <v>1924</v>
      </c>
      <c r="C1692" t="s">
        <v>137</v>
      </c>
    </row>
    <row r="1693" spans="1:3" x14ac:dyDescent="0.2">
      <c r="A1693" t="str">
        <f>"03360"</f>
        <v>03360</v>
      </c>
      <c r="B1693" t="s">
        <v>184</v>
      </c>
      <c r="C1693" t="s">
        <v>171</v>
      </c>
    </row>
    <row r="1694" spans="1:3" x14ac:dyDescent="0.2">
      <c r="A1694" t="str">
        <f>"03363"</f>
        <v>03363</v>
      </c>
      <c r="B1694" t="s">
        <v>1925</v>
      </c>
      <c r="C1694" t="s">
        <v>257</v>
      </c>
    </row>
    <row r="1695" spans="1:3" x14ac:dyDescent="0.2">
      <c r="A1695" t="str">
        <f>"03366"</f>
        <v>03366</v>
      </c>
      <c r="B1695" t="s">
        <v>1926</v>
      </c>
      <c r="C1695" t="s">
        <v>163</v>
      </c>
    </row>
    <row r="1696" spans="1:3" x14ac:dyDescent="0.2">
      <c r="A1696" t="str">
        <f>"03368"</f>
        <v>03368</v>
      </c>
      <c r="B1696" t="s">
        <v>1927</v>
      </c>
      <c r="C1696" t="s">
        <v>81</v>
      </c>
    </row>
    <row r="1697" spans="1:3" x14ac:dyDescent="0.2">
      <c r="A1697" t="str">
        <f>"03369"</f>
        <v>03369</v>
      </c>
      <c r="B1697" t="s">
        <v>227</v>
      </c>
      <c r="C1697" t="s">
        <v>220</v>
      </c>
    </row>
    <row r="1698" spans="1:3" x14ac:dyDescent="0.2">
      <c r="A1698" t="str">
        <f>"03378"</f>
        <v>03378</v>
      </c>
      <c r="B1698" t="s">
        <v>1928</v>
      </c>
      <c r="C1698" t="s">
        <v>25</v>
      </c>
    </row>
    <row r="1699" spans="1:3" x14ac:dyDescent="0.2">
      <c r="A1699" t="str">
        <f>"03380"</f>
        <v>03380</v>
      </c>
      <c r="B1699" t="s">
        <v>865</v>
      </c>
      <c r="C1699" t="s">
        <v>163</v>
      </c>
    </row>
    <row r="1700" spans="1:3" x14ac:dyDescent="0.2">
      <c r="A1700" t="str">
        <f>"03382"</f>
        <v>03382</v>
      </c>
      <c r="B1700" t="s">
        <v>226</v>
      </c>
      <c r="C1700" t="s">
        <v>220</v>
      </c>
    </row>
    <row r="1701" spans="1:3" x14ac:dyDescent="0.2">
      <c r="A1701" t="str">
        <f>"03383"</f>
        <v>03383</v>
      </c>
      <c r="B1701" t="s">
        <v>1929</v>
      </c>
      <c r="C1701" t="s">
        <v>163</v>
      </c>
    </row>
    <row r="1702" spans="1:3" x14ac:dyDescent="0.2">
      <c r="A1702" t="str">
        <f>"03388"</f>
        <v>03388</v>
      </c>
      <c r="B1702" t="s">
        <v>1930</v>
      </c>
      <c r="C1702" t="s">
        <v>154</v>
      </c>
    </row>
    <row r="1703" spans="1:3" x14ac:dyDescent="0.2">
      <c r="A1703" t="str">
        <f>"03389"</f>
        <v>03389</v>
      </c>
      <c r="B1703" t="s">
        <v>1931</v>
      </c>
      <c r="C1703" t="s">
        <v>81</v>
      </c>
    </row>
    <row r="1704" spans="1:3" x14ac:dyDescent="0.2">
      <c r="A1704" t="str">
        <f>"03390"</f>
        <v>03390</v>
      </c>
      <c r="B1704" t="s">
        <v>1932</v>
      </c>
      <c r="C1704" t="s">
        <v>25</v>
      </c>
    </row>
    <row r="1705" spans="1:3" x14ac:dyDescent="0.2">
      <c r="A1705" t="str">
        <f>"03393"</f>
        <v>03393</v>
      </c>
      <c r="B1705" t="s">
        <v>245</v>
      </c>
      <c r="C1705" t="s">
        <v>233</v>
      </c>
    </row>
    <row r="1706" spans="1:3" x14ac:dyDescent="0.2">
      <c r="A1706" t="str">
        <f>"03395"</f>
        <v>03395</v>
      </c>
      <c r="B1706" t="s">
        <v>1933</v>
      </c>
      <c r="C1706" t="s">
        <v>277</v>
      </c>
    </row>
    <row r="1707" spans="1:3" x14ac:dyDescent="0.2">
      <c r="A1707" t="str">
        <f>"03396"</f>
        <v>03396</v>
      </c>
      <c r="B1707" t="s">
        <v>159</v>
      </c>
      <c r="C1707" t="s">
        <v>154</v>
      </c>
    </row>
    <row r="1708" spans="1:3" x14ac:dyDescent="0.2">
      <c r="A1708" t="str">
        <f>"03398"</f>
        <v>03398</v>
      </c>
      <c r="B1708" t="s">
        <v>1934</v>
      </c>
      <c r="C1708" t="s">
        <v>112</v>
      </c>
    </row>
    <row r="1709" spans="1:3" x14ac:dyDescent="0.2">
      <c r="A1709" t="str">
        <f>"03399"</f>
        <v>03399</v>
      </c>
      <c r="B1709" t="s">
        <v>1935</v>
      </c>
      <c r="C1709" t="s">
        <v>101</v>
      </c>
    </row>
    <row r="1710" spans="1:3" x14ac:dyDescent="0.2">
      <c r="A1710" t="str">
        <f>"03600"</f>
        <v>03600</v>
      </c>
      <c r="B1710" t="s">
        <v>5</v>
      </c>
      <c r="C1710" t="s">
        <v>911</v>
      </c>
    </row>
    <row r="1711" spans="1:3" x14ac:dyDescent="0.2">
      <c r="A1711" t="str">
        <f>"03601"</f>
        <v>03601</v>
      </c>
      <c r="B1711" t="s">
        <v>1936</v>
      </c>
      <c r="C1711" t="s">
        <v>137</v>
      </c>
    </row>
    <row r="1712" spans="1:3" x14ac:dyDescent="0.2">
      <c r="A1712" t="str">
        <f>"03606"</f>
        <v>03606</v>
      </c>
      <c r="B1712" t="s">
        <v>131</v>
      </c>
      <c r="C1712" t="s">
        <v>127</v>
      </c>
    </row>
    <row r="1713" spans="1:3" x14ac:dyDescent="0.2">
      <c r="A1713" t="str">
        <f>"03613"</f>
        <v>03613</v>
      </c>
      <c r="B1713" t="s">
        <v>46</v>
      </c>
      <c r="C1713" t="s">
        <v>25</v>
      </c>
    </row>
    <row r="1714" spans="1:3" x14ac:dyDescent="0.2">
      <c r="A1714" t="str">
        <f>"03616"</f>
        <v>03616</v>
      </c>
      <c r="B1714" t="s">
        <v>1937</v>
      </c>
      <c r="C1714" t="s">
        <v>163</v>
      </c>
    </row>
    <row r="1715" spans="1:3" x14ac:dyDescent="0.2">
      <c r="A1715" t="str">
        <f>"03618"</f>
        <v>03618</v>
      </c>
      <c r="B1715" t="s">
        <v>203</v>
      </c>
      <c r="C1715" t="s">
        <v>196</v>
      </c>
    </row>
    <row r="1716" spans="1:3" x14ac:dyDescent="0.2">
      <c r="A1716" t="str">
        <f>"03623"</f>
        <v>03623</v>
      </c>
      <c r="B1716" t="s">
        <v>1938</v>
      </c>
      <c r="C1716" t="s">
        <v>171</v>
      </c>
    </row>
    <row r="1717" spans="1:3" x14ac:dyDescent="0.2">
      <c r="A1717" t="str">
        <f>"03625"</f>
        <v>03625</v>
      </c>
      <c r="B1717" t="s">
        <v>1939</v>
      </c>
      <c r="C1717" t="s">
        <v>135</v>
      </c>
    </row>
    <row r="1718" spans="1:3" x14ac:dyDescent="0.2">
      <c r="A1718" t="str">
        <f>"03626"</f>
        <v>03626</v>
      </c>
      <c r="B1718" t="s">
        <v>1940</v>
      </c>
      <c r="C1718" t="s">
        <v>217</v>
      </c>
    </row>
    <row r="1719" spans="1:3" x14ac:dyDescent="0.2">
      <c r="A1719" t="str">
        <f>"03628"</f>
        <v>03628</v>
      </c>
      <c r="B1719" t="s">
        <v>1941</v>
      </c>
      <c r="C1719" t="s">
        <v>233</v>
      </c>
    </row>
    <row r="1720" spans="1:3" x14ac:dyDescent="0.2">
      <c r="A1720" t="str">
        <f>"03633"</f>
        <v>03633</v>
      </c>
      <c r="B1720" t="s">
        <v>211</v>
      </c>
      <c r="C1720" t="s">
        <v>208</v>
      </c>
    </row>
    <row r="1721" spans="1:3" x14ac:dyDescent="0.2">
      <c r="A1721" t="str">
        <f>"03636"</f>
        <v>03636</v>
      </c>
      <c r="B1721" t="s">
        <v>1942</v>
      </c>
      <c r="C1721" t="s">
        <v>264</v>
      </c>
    </row>
    <row r="1722" spans="1:3" x14ac:dyDescent="0.2">
      <c r="A1722" t="str">
        <f>"03638"</f>
        <v>03638</v>
      </c>
      <c r="B1722" t="s">
        <v>156</v>
      </c>
      <c r="C1722" t="s">
        <v>154</v>
      </c>
    </row>
    <row r="1723" spans="1:3" x14ac:dyDescent="0.2">
      <c r="A1723" t="str">
        <f>"03650"</f>
        <v>03650</v>
      </c>
      <c r="B1723" t="s">
        <v>108</v>
      </c>
      <c r="C1723" t="s">
        <v>101</v>
      </c>
    </row>
    <row r="1724" spans="1:3" x14ac:dyDescent="0.2">
      <c r="A1724" t="str">
        <f>"03658"</f>
        <v>03658</v>
      </c>
      <c r="B1724" t="s">
        <v>1943</v>
      </c>
      <c r="C1724" t="s">
        <v>163</v>
      </c>
    </row>
    <row r="1725" spans="1:3" x14ac:dyDescent="0.2">
      <c r="A1725" t="str">
        <f>"03660"</f>
        <v>03660</v>
      </c>
      <c r="B1725" t="s">
        <v>1944</v>
      </c>
      <c r="C1725" t="s">
        <v>171</v>
      </c>
    </row>
    <row r="1726" spans="1:3" x14ac:dyDescent="0.2">
      <c r="A1726" t="str">
        <f>"03662"</f>
        <v>03662</v>
      </c>
      <c r="B1726" t="s">
        <v>1945</v>
      </c>
      <c r="C1726" t="s">
        <v>163</v>
      </c>
    </row>
    <row r="1727" spans="1:3" x14ac:dyDescent="0.2">
      <c r="A1727" t="str">
        <f>"03668"</f>
        <v>03668</v>
      </c>
      <c r="B1727" t="s">
        <v>866</v>
      </c>
      <c r="C1727" t="s">
        <v>912</v>
      </c>
    </row>
    <row r="1728" spans="1:3" x14ac:dyDescent="0.2">
      <c r="A1728" t="str">
        <f>"03669"</f>
        <v>03669</v>
      </c>
      <c r="B1728" t="s">
        <v>87</v>
      </c>
      <c r="C1728" t="s">
        <v>81</v>
      </c>
    </row>
    <row r="1729" spans="1:3" x14ac:dyDescent="0.2">
      <c r="A1729" t="str">
        <f>"03677"</f>
        <v>03677</v>
      </c>
      <c r="B1729" t="s">
        <v>234</v>
      </c>
      <c r="C1729" t="s">
        <v>233</v>
      </c>
    </row>
    <row r="1730" spans="1:3" x14ac:dyDescent="0.2">
      <c r="A1730" t="str">
        <f>"03678"</f>
        <v>03678</v>
      </c>
      <c r="B1730" t="s">
        <v>183</v>
      </c>
      <c r="C1730" t="s">
        <v>171</v>
      </c>
    </row>
    <row r="1731" spans="1:3" x14ac:dyDescent="0.2">
      <c r="A1731" t="str">
        <f>"03680"</f>
        <v>03680</v>
      </c>
      <c r="B1731" t="s">
        <v>141</v>
      </c>
      <c r="C1731" t="s">
        <v>137</v>
      </c>
    </row>
    <row r="1732" spans="1:3" x14ac:dyDescent="0.2">
      <c r="A1732" t="str">
        <f>"03681"</f>
        <v>03681</v>
      </c>
      <c r="B1732" t="s">
        <v>27</v>
      </c>
      <c r="C1732" t="s">
        <v>25</v>
      </c>
    </row>
    <row r="1733" spans="1:3" x14ac:dyDescent="0.2">
      <c r="A1733" t="str">
        <f>"03686"</f>
        <v>03686</v>
      </c>
      <c r="B1733" t="s">
        <v>1946</v>
      </c>
      <c r="C1733" t="s">
        <v>134</v>
      </c>
    </row>
    <row r="1734" spans="1:3" x14ac:dyDescent="0.2">
      <c r="A1734" t="str">
        <f>"03688"</f>
        <v>03688</v>
      </c>
      <c r="B1734" t="s">
        <v>1947</v>
      </c>
      <c r="C1734" t="s">
        <v>163</v>
      </c>
    </row>
    <row r="1735" spans="1:3" x14ac:dyDescent="0.2">
      <c r="A1735" t="str">
        <f>"03689"</f>
        <v>03689</v>
      </c>
      <c r="B1735" t="s">
        <v>1948</v>
      </c>
      <c r="C1735" t="s">
        <v>911</v>
      </c>
    </row>
    <row r="1736" spans="1:3" x14ac:dyDescent="0.2">
      <c r="A1736" t="str">
        <f>"03690"</f>
        <v>03690</v>
      </c>
      <c r="B1736" t="s">
        <v>86</v>
      </c>
      <c r="C1736" t="s">
        <v>81</v>
      </c>
    </row>
    <row r="1737" spans="1:3" x14ac:dyDescent="0.2">
      <c r="A1737" t="str">
        <f>"03692"</f>
        <v>03692</v>
      </c>
      <c r="B1737" t="s">
        <v>45</v>
      </c>
      <c r="C1737" t="s">
        <v>25</v>
      </c>
    </row>
    <row r="1738" spans="1:3" x14ac:dyDescent="0.2">
      <c r="A1738" t="str">
        <f>"03696"</f>
        <v>03696</v>
      </c>
      <c r="B1738" t="s">
        <v>1949</v>
      </c>
      <c r="C1738" t="s">
        <v>25</v>
      </c>
    </row>
    <row r="1739" spans="1:3" x14ac:dyDescent="0.2">
      <c r="A1739" t="str">
        <f>"03698"</f>
        <v>03698</v>
      </c>
      <c r="B1739" t="s">
        <v>202</v>
      </c>
      <c r="C1739" t="s">
        <v>196</v>
      </c>
    </row>
    <row r="1740" spans="1:3" x14ac:dyDescent="0.2">
      <c r="A1740" t="str">
        <f>"03699"</f>
        <v>03699</v>
      </c>
      <c r="B1740" t="s">
        <v>1950</v>
      </c>
      <c r="C1740" t="s">
        <v>163</v>
      </c>
    </row>
    <row r="1741" spans="1:3" x14ac:dyDescent="0.2">
      <c r="A1741" t="str">
        <f>"03700"</f>
        <v>03700</v>
      </c>
      <c r="B1741" t="s">
        <v>1951</v>
      </c>
      <c r="C1741" t="s">
        <v>97</v>
      </c>
    </row>
    <row r="1742" spans="1:3" x14ac:dyDescent="0.2">
      <c r="A1742" t="str">
        <f>"03708"</f>
        <v>03708</v>
      </c>
      <c r="B1742" t="s">
        <v>1952</v>
      </c>
      <c r="C1742" t="s">
        <v>162</v>
      </c>
    </row>
    <row r="1743" spans="1:3" x14ac:dyDescent="0.2">
      <c r="A1743" t="str">
        <f>"03709"</f>
        <v>03709</v>
      </c>
      <c r="B1743" t="s">
        <v>115</v>
      </c>
      <c r="C1743" t="s">
        <v>112</v>
      </c>
    </row>
    <row r="1744" spans="1:3" x14ac:dyDescent="0.2">
      <c r="A1744" t="str">
        <f>"03718"</f>
        <v>03718</v>
      </c>
      <c r="B1744" t="s">
        <v>1953</v>
      </c>
      <c r="C1744" t="s">
        <v>233</v>
      </c>
    </row>
    <row r="1745" spans="1:3" x14ac:dyDescent="0.2">
      <c r="A1745" t="str">
        <f>"03737"</f>
        <v>03737</v>
      </c>
      <c r="B1745" t="s">
        <v>1954</v>
      </c>
      <c r="C1745" t="s">
        <v>25</v>
      </c>
    </row>
    <row r="1746" spans="1:3" x14ac:dyDescent="0.2">
      <c r="A1746" t="str">
        <f>"03738"</f>
        <v>03738</v>
      </c>
      <c r="B1746" t="s">
        <v>146</v>
      </c>
      <c r="C1746" t="s">
        <v>137</v>
      </c>
    </row>
    <row r="1747" spans="1:3" x14ac:dyDescent="0.2">
      <c r="A1747" t="str">
        <f>"03750"</f>
        <v>03750</v>
      </c>
      <c r="B1747" t="s">
        <v>244</v>
      </c>
      <c r="C1747" t="s">
        <v>233</v>
      </c>
    </row>
    <row r="1748" spans="1:3" x14ac:dyDescent="0.2">
      <c r="A1748" t="str">
        <f>"03759"</f>
        <v>03759</v>
      </c>
      <c r="B1748" t="s">
        <v>44</v>
      </c>
      <c r="C1748" t="s">
        <v>25</v>
      </c>
    </row>
    <row r="1749" spans="1:3" x14ac:dyDescent="0.2">
      <c r="A1749" t="str">
        <f>"03768"</f>
        <v>03768</v>
      </c>
      <c r="B1749" t="s">
        <v>1955</v>
      </c>
      <c r="C1749" t="s">
        <v>208</v>
      </c>
    </row>
    <row r="1750" spans="1:3" x14ac:dyDescent="0.2">
      <c r="A1750" t="str">
        <f>"03773"</f>
        <v>03773</v>
      </c>
      <c r="B1750" t="s">
        <v>1956</v>
      </c>
      <c r="C1750" t="s">
        <v>97</v>
      </c>
    </row>
    <row r="1751" spans="1:3" x14ac:dyDescent="0.2">
      <c r="A1751" t="str">
        <f>"03778"</f>
        <v>03778</v>
      </c>
      <c r="B1751" t="s">
        <v>1957</v>
      </c>
      <c r="C1751" t="s">
        <v>112</v>
      </c>
    </row>
    <row r="1752" spans="1:3" x14ac:dyDescent="0.2">
      <c r="A1752" t="str">
        <f>"03788"</f>
        <v>03788</v>
      </c>
      <c r="B1752" t="s">
        <v>1958</v>
      </c>
      <c r="C1752" t="s">
        <v>264</v>
      </c>
    </row>
    <row r="1753" spans="1:3" x14ac:dyDescent="0.2">
      <c r="A1753" t="str">
        <f>"03789"</f>
        <v>03789</v>
      </c>
      <c r="B1753" t="s">
        <v>1959</v>
      </c>
      <c r="C1753" t="s">
        <v>162</v>
      </c>
    </row>
    <row r="1754" spans="1:3" x14ac:dyDescent="0.2">
      <c r="A1754" t="str">
        <f>"03798"</f>
        <v>03798</v>
      </c>
      <c r="B1754" t="s">
        <v>1960</v>
      </c>
      <c r="C1754" t="s">
        <v>137</v>
      </c>
    </row>
    <row r="1755" spans="1:3" x14ac:dyDescent="0.2">
      <c r="A1755" t="str">
        <f>"03800"</f>
        <v>03800</v>
      </c>
      <c r="B1755" t="s">
        <v>867</v>
      </c>
      <c r="C1755" t="s">
        <v>233</v>
      </c>
    </row>
    <row r="1756" spans="1:3" x14ac:dyDescent="0.2">
      <c r="A1756" t="str">
        <f>"03808"</f>
        <v>03808</v>
      </c>
      <c r="B1756" t="s">
        <v>243</v>
      </c>
      <c r="C1756" t="s">
        <v>233</v>
      </c>
    </row>
    <row r="1757" spans="1:3" x14ac:dyDescent="0.2">
      <c r="A1757" t="str">
        <f>"03813"</f>
        <v>03813</v>
      </c>
      <c r="B1757" t="s">
        <v>1961</v>
      </c>
      <c r="C1757" t="s">
        <v>81</v>
      </c>
    </row>
    <row r="1758" spans="1:3" x14ac:dyDescent="0.2">
      <c r="A1758" t="str">
        <f>"03816"</f>
        <v>03816</v>
      </c>
      <c r="B1758" t="s">
        <v>1962</v>
      </c>
      <c r="C1758" t="s">
        <v>233</v>
      </c>
    </row>
    <row r="1759" spans="1:3" x14ac:dyDescent="0.2">
      <c r="A1759" t="str">
        <f>"03818"</f>
        <v>03818</v>
      </c>
      <c r="B1759" t="s">
        <v>868</v>
      </c>
      <c r="C1759" t="s">
        <v>112</v>
      </c>
    </row>
    <row r="1760" spans="1:3" x14ac:dyDescent="0.2">
      <c r="A1760" t="str">
        <f>"03822"</f>
        <v>03822</v>
      </c>
      <c r="B1760" t="s">
        <v>1963</v>
      </c>
      <c r="C1760" t="s">
        <v>162</v>
      </c>
    </row>
    <row r="1761" spans="1:3" x14ac:dyDescent="0.2">
      <c r="A1761" t="str">
        <f>"03828"</f>
        <v>03828</v>
      </c>
      <c r="B1761" t="s">
        <v>1964</v>
      </c>
      <c r="C1761" t="s">
        <v>63</v>
      </c>
    </row>
    <row r="1762" spans="1:3" x14ac:dyDescent="0.2">
      <c r="A1762" t="str">
        <f>"03830"</f>
        <v>03830</v>
      </c>
      <c r="B1762" t="s">
        <v>1965</v>
      </c>
      <c r="C1762" t="s">
        <v>120</v>
      </c>
    </row>
    <row r="1763" spans="1:3" x14ac:dyDescent="0.2">
      <c r="A1763" t="str">
        <f>"03833"</f>
        <v>03833</v>
      </c>
      <c r="B1763" t="s">
        <v>263</v>
      </c>
      <c r="C1763" t="s">
        <v>264</v>
      </c>
    </row>
    <row r="1764" spans="1:3" x14ac:dyDescent="0.2">
      <c r="A1764" t="str">
        <f>"03836"</f>
        <v>03836</v>
      </c>
      <c r="B1764" t="s">
        <v>85</v>
      </c>
      <c r="C1764" t="s">
        <v>81</v>
      </c>
    </row>
    <row r="1765" spans="1:3" x14ac:dyDescent="0.2">
      <c r="A1765" t="str">
        <f>"03838"</f>
        <v>03838</v>
      </c>
      <c r="B1765" t="s">
        <v>1966</v>
      </c>
      <c r="C1765" t="s">
        <v>66</v>
      </c>
    </row>
    <row r="1766" spans="1:3" x14ac:dyDescent="0.2">
      <c r="A1766" t="str">
        <f>"03839"</f>
        <v>03839</v>
      </c>
      <c r="B1766" t="s">
        <v>869</v>
      </c>
      <c r="C1766" t="s">
        <v>25</v>
      </c>
    </row>
    <row r="1767" spans="1:3" x14ac:dyDescent="0.2">
      <c r="A1767" t="str">
        <f>"03848"</f>
        <v>03848</v>
      </c>
      <c r="B1767" t="s">
        <v>173</v>
      </c>
      <c r="C1767" t="s">
        <v>171</v>
      </c>
    </row>
    <row r="1768" spans="1:3" x14ac:dyDescent="0.2">
      <c r="A1768" t="str">
        <f>"03858"</f>
        <v>03858</v>
      </c>
      <c r="B1768" t="s">
        <v>870</v>
      </c>
      <c r="C1768" t="s">
        <v>264</v>
      </c>
    </row>
    <row r="1769" spans="1:3" x14ac:dyDescent="0.2">
      <c r="A1769" t="str">
        <f>"03860"</f>
        <v>03860</v>
      </c>
      <c r="B1769" t="s">
        <v>1967</v>
      </c>
      <c r="C1769" t="s">
        <v>112</v>
      </c>
    </row>
    <row r="1770" spans="1:3" x14ac:dyDescent="0.2">
      <c r="A1770" t="str">
        <f>"03866"</f>
        <v>03866</v>
      </c>
      <c r="B1770" t="s">
        <v>201</v>
      </c>
      <c r="C1770" t="s">
        <v>196</v>
      </c>
    </row>
    <row r="1771" spans="1:3" x14ac:dyDescent="0.2">
      <c r="A1771" t="str">
        <f>"03868"</f>
        <v>03868</v>
      </c>
      <c r="B1771" t="s">
        <v>210</v>
      </c>
      <c r="C1771" t="s">
        <v>208</v>
      </c>
    </row>
    <row r="1772" spans="1:3" x14ac:dyDescent="0.2">
      <c r="A1772" t="str">
        <f>"03869"</f>
        <v>03869</v>
      </c>
      <c r="B1772" t="s">
        <v>1968</v>
      </c>
      <c r="C1772" t="s">
        <v>911</v>
      </c>
    </row>
    <row r="1773" spans="1:3" x14ac:dyDescent="0.2">
      <c r="A1773" t="str">
        <f>"03877"</f>
        <v>03877</v>
      </c>
      <c r="B1773" t="s">
        <v>225</v>
      </c>
      <c r="C1773" t="s">
        <v>220</v>
      </c>
    </row>
    <row r="1774" spans="1:3" x14ac:dyDescent="0.2">
      <c r="A1774" t="str">
        <f>"03878"</f>
        <v>03878</v>
      </c>
      <c r="B1774" t="s">
        <v>1969</v>
      </c>
      <c r="C1774" t="s">
        <v>162</v>
      </c>
    </row>
    <row r="1775" spans="1:3" x14ac:dyDescent="0.2">
      <c r="A1775" t="str">
        <f>"03880"</f>
        <v>03880</v>
      </c>
      <c r="B1775" t="s">
        <v>871</v>
      </c>
      <c r="C1775" t="s">
        <v>25</v>
      </c>
    </row>
    <row r="1776" spans="1:3" x14ac:dyDescent="0.2">
      <c r="A1776" t="str">
        <f>"03881"</f>
        <v>03881</v>
      </c>
      <c r="B1776" t="s">
        <v>1970</v>
      </c>
      <c r="C1776" t="s">
        <v>233</v>
      </c>
    </row>
    <row r="1777" spans="1:3" x14ac:dyDescent="0.2">
      <c r="A1777" t="str">
        <f>"03882"</f>
        <v>03882</v>
      </c>
      <c r="B1777" t="s">
        <v>1971</v>
      </c>
      <c r="C1777" t="s">
        <v>120</v>
      </c>
    </row>
    <row r="1778" spans="1:3" x14ac:dyDescent="0.2">
      <c r="A1778" t="str">
        <f>"03886"</f>
        <v>03886</v>
      </c>
      <c r="B1778" t="s">
        <v>1972</v>
      </c>
      <c r="C1778" t="s">
        <v>911</v>
      </c>
    </row>
    <row r="1779" spans="1:3" x14ac:dyDescent="0.2">
      <c r="A1779" t="str">
        <f>"03887"</f>
        <v>03887</v>
      </c>
      <c r="B1779" t="s">
        <v>1973</v>
      </c>
      <c r="C1779" t="s">
        <v>171</v>
      </c>
    </row>
    <row r="1780" spans="1:3" x14ac:dyDescent="0.2">
      <c r="A1780" t="str">
        <f>"03888"</f>
        <v>03888</v>
      </c>
      <c r="B1780" t="s">
        <v>145</v>
      </c>
      <c r="C1780" t="s">
        <v>137</v>
      </c>
    </row>
    <row r="1781" spans="1:3" x14ac:dyDescent="0.2">
      <c r="A1781" t="str">
        <f>"03893"</f>
        <v>03893</v>
      </c>
      <c r="B1781" t="s">
        <v>1974</v>
      </c>
      <c r="C1781" t="s">
        <v>120</v>
      </c>
    </row>
    <row r="1782" spans="1:3" x14ac:dyDescent="0.2">
      <c r="A1782" t="str">
        <f>"03896"</f>
        <v>03896</v>
      </c>
      <c r="B1782" t="s">
        <v>144</v>
      </c>
      <c r="C1782" t="s">
        <v>137</v>
      </c>
    </row>
    <row r="1783" spans="1:3" x14ac:dyDescent="0.2">
      <c r="A1783" t="str">
        <f>"03898"</f>
        <v>03898</v>
      </c>
      <c r="B1783" t="s">
        <v>242</v>
      </c>
      <c r="C1783" t="s">
        <v>233</v>
      </c>
    </row>
    <row r="1784" spans="1:3" x14ac:dyDescent="0.2">
      <c r="A1784" t="str">
        <f>"03899"</f>
        <v>03899</v>
      </c>
      <c r="B1784" t="s">
        <v>278</v>
      </c>
      <c r="C1784" t="s">
        <v>277</v>
      </c>
    </row>
    <row r="1785" spans="1:3" x14ac:dyDescent="0.2">
      <c r="A1785" t="str">
        <f>"03900"</f>
        <v>03900</v>
      </c>
      <c r="B1785" t="s">
        <v>166</v>
      </c>
      <c r="C1785" t="s">
        <v>163</v>
      </c>
    </row>
    <row r="1786" spans="1:3" x14ac:dyDescent="0.2">
      <c r="A1786" t="str">
        <f>"03903"</f>
        <v>03903</v>
      </c>
      <c r="B1786" t="s">
        <v>1975</v>
      </c>
      <c r="C1786" t="s">
        <v>171</v>
      </c>
    </row>
    <row r="1787" spans="1:3" x14ac:dyDescent="0.2">
      <c r="A1787" t="str">
        <f>"03908"</f>
        <v>03908</v>
      </c>
      <c r="B1787" t="s">
        <v>1976</v>
      </c>
      <c r="C1787" t="s">
        <v>171</v>
      </c>
    </row>
    <row r="1788" spans="1:3" x14ac:dyDescent="0.2">
      <c r="A1788" t="str">
        <f>"03913"</f>
        <v>03913</v>
      </c>
      <c r="B1788" t="s">
        <v>1977</v>
      </c>
      <c r="C1788" t="s">
        <v>163</v>
      </c>
    </row>
    <row r="1789" spans="1:3" x14ac:dyDescent="0.2">
      <c r="A1789" t="str">
        <f>"03918"</f>
        <v>03918</v>
      </c>
      <c r="B1789" t="s">
        <v>107</v>
      </c>
      <c r="C1789" t="s">
        <v>101</v>
      </c>
    </row>
    <row r="1790" spans="1:3" x14ac:dyDescent="0.2">
      <c r="A1790" t="str">
        <f>"03928"</f>
        <v>03928</v>
      </c>
      <c r="B1790" t="s">
        <v>872</v>
      </c>
      <c r="C1790" t="s">
        <v>162</v>
      </c>
    </row>
    <row r="1791" spans="1:3" x14ac:dyDescent="0.2">
      <c r="A1791" t="str">
        <f>"03931"</f>
        <v>03931</v>
      </c>
      <c r="B1791" t="s">
        <v>241</v>
      </c>
      <c r="C1791" t="s">
        <v>233</v>
      </c>
    </row>
    <row r="1792" spans="1:3" x14ac:dyDescent="0.2">
      <c r="A1792" t="str">
        <f>"03933"</f>
        <v>03933</v>
      </c>
      <c r="B1792" t="s">
        <v>43</v>
      </c>
      <c r="C1792" t="s">
        <v>25</v>
      </c>
    </row>
    <row r="1793" spans="1:3" x14ac:dyDescent="0.2">
      <c r="A1793" t="str">
        <f>"03938"</f>
        <v>03938</v>
      </c>
      <c r="B1793" t="s">
        <v>1978</v>
      </c>
      <c r="C1793" t="s">
        <v>171</v>
      </c>
    </row>
    <row r="1794" spans="1:3" x14ac:dyDescent="0.2">
      <c r="A1794" t="str">
        <f>"03939"</f>
        <v>03939</v>
      </c>
      <c r="B1794" t="s">
        <v>270</v>
      </c>
      <c r="C1794" t="s">
        <v>272</v>
      </c>
    </row>
    <row r="1795" spans="1:3" x14ac:dyDescent="0.2">
      <c r="A1795" t="str">
        <f>"03958"</f>
        <v>03958</v>
      </c>
      <c r="B1795" t="s">
        <v>182</v>
      </c>
      <c r="C1795" t="s">
        <v>171</v>
      </c>
    </row>
    <row r="1796" spans="1:3" x14ac:dyDescent="0.2">
      <c r="A1796" t="str">
        <f>"03963"</f>
        <v>03963</v>
      </c>
      <c r="B1796" t="s">
        <v>1979</v>
      </c>
      <c r="C1796" t="s">
        <v>171</v>
      </c>
    </row>
    <row r="1797" spans="1:3" x14ac:dyDescent="0.2">
      <c r="A1797" t="str">
        <f>"03968"</f>
        <v>03968</v>
      </c>
      <c r="B1797" t="s">
        <v>200</v>
      </c>
      <c r="C1797" t="s">
        <v>196</v>
      </c>
    </row>
    <row r="1798" spans="1:3" x14ac:dyDescent="0.2">
      <c r="A1798" t="str">
        <f>"03969"</f>
        <v>03969</v>
      </c>
      <c r="B1798" t="s">
        <v>143</v>
      </c>
      <c r="C1798" t="s">
        <v>233</v>
      </c>
    </row>
    <row r="1799" spans="1:3" x14ac:dyDescent="0.2">
      <c r="A1799" t="str">
        <f>"03978"</f>
        <v>03978</v>
      </c>
      <c r="B1799" t="s">
        <v>90</v>
      </c>
      <c r="C1799" t="s">
        <v>89</v>
      </c>
    </row>
    <row r="1800" spans="1:3" x14ac:dyDescent="0.2">
      <c r="A1800" t="str">
        <f>"03983"</f>
        <v>03983</v>
      </c>
      <c r="B1800" t="s">
        <v>258</v>
      </c>
      <c r="C1800" t="s">
        <v>257</v>
      </c>
    </row>
    <row r="1801" spans="1:3" x14ac:dyDescent="0.2">
      <c r="A1801" t="str">
        <f>"03986"</f>
        <v>03986</v>
      </c>
      <c r="B1801" t="s">
        <v>1980</v>
      </c>
      <c r="C1801" t="s">
        <v>135</v>
      </c>
    </row>
    <row r="1802" spans="1:3" x14ac:dyDescent="0.2">
      <c r="A1802" t="str">
        <f>"03988"</f>
        <v>03988</v>
      </c>
      <c r="B1802" t="s">
        <v>199</v>
      </c>
      <c r="C1802" t="s">
        <v>196</v>
      </c>
    </row>
    <row r="1803" spans="1:3" x14ac:dyDescent="0.2">
      <c r="A1803" t="str">
        <f>"03990"</f>
        <v>03990</v>
      </c>
      <c r="B1803" t="s">
        <v>873</v>
      </c>
      <c r="C1803" t="s">
        <v>163</v>
      </c>
    </row>
    <row r="1804" spans="1:3" x14ac:dyDescent="0.2">
      <c r="A1804" t="str">
        <f>"03991"</f>
        <v>03991</v>
      </c>
      <c r="B1804" t="s">
        <v>155</v>
      </c>
      <c r="C1804" t="s">
        <v>154</v>
      </c>
    </row>
    <row r="1805" spans="1:3" x14ac:dyDescent="0.2">
      <c r="A1805" t="str">
        <f>"03993"</f>
        <v>03993</v>
      </c>
      <c r="B1805" t="s">
        <v>269</v>
      </c>
      <c r="C1805" t="s">
        <v>264</v>
      </c>
    </row>
    <row r="1806" spans="1:3" x14ac:dyDescent="0.2">
      <c r="A1806" t="str">
        <f>"03996"</f>
        <v>03996</v>
      </c>
      <c r="B1806" t="s">
        <v>240</v>
      </c>
      <c r="C1806" t="s">
        <v>233</v>
      </c>
    </row>
    <row r="1807" spans="1:3" x14ac:dyDescent="0.2">
      <c r="A1807" t="str">
        <f>"03997"</f>
        <v>03997</v>
      </c>
      <c r="B1807" t="s">
        <v>1981</v>
      </c>
      <c r="C1807" t="s">
        <v>154</v>
      </c>
    </row>
    <row r="1808" spans="1:3" x14ac:dyDescent="0.2">
      <c r="A1808" t="str">
        <f>"03998"</f>
        <v>03998</v>
      </c>
      <c r="B1808" t="s">
        <v>114</v>
      </c>
      <c r="C1808" t="s">
        <v>112</v>
      </c>
    </row>
    <row r="1809" spans="1:3" x14ac:dyDescent="0.2">
      <c r="A1809" t="str">
        <f>"03999"</f>
        <v>03999</v>
      </c>
      <c r="B1809" t="s">
        <v>1982</v>
      </c>
      <c r="C1809" t="s">
        <v>66</v>
      </c>
    </row>
    <row r="1810" spans="1:3" x14ac:dyDescent="0.2">
      <c r="A1810" t="str">
        <f>"06030"</f>
        <v>06030</v>
      </c>
      <c r="B1810" t="s">
        <v>181</v>
      </c>
      <c r="C1810" t="s">
        <v>171</v>
      </c>
    </row>
    <row r="1811" spans="1:3" x14ac:dyDescent="0.2">
      <c r="A1811" t="str">
        <f>"06031"</f>
        <v>06031</v>
      </c>
      <c r="B1811" t="s">
        <v>874</v>
      </c>
      <c r="C1811" t="s">
        <v>233</v>
      </c>
    </row>
    <row r="1812" spans="1:3" x14ac:dyDescent="0.2">
      <c r="A1812" t="str">
        <f>"06033"</f>
        <v>06033</v>
      </c>
      <c r="B1812" t="s">
        <v>1983</v>
      </c>
      <c r="C1812" t="s">
        <v>154</v>
      </c>
    </row>
    <row r="1813" spans="1:3" x14ac:dyDescent="0.2">
      <c r="A1813" t="str">
        <f>"06036"</f>
        <v>06036</v>
      </c>
      <c r="B1813" t="s">
        <v>1984</v>
      </c>
      <c r="C1813" t="s">
        <v>233</v>
      </c>
    </row>
    <row r="1814" spans="1:3" x14ac:dyDescent="0.2">
      <c r="A1814" t="str">
        <f>"06038"</f>
        <v>06038</v>
      </c>
      <c r="B1814" t="s">
        <v>1985</v>
      </c>
      <c r="C1814" t="s">
        <v>162</v>
      </c>
    </row>
    <row r="1815" spans="1:3" x14ac:dyDescent="0.2">
      <c r="A1815" t="str">
        <f>"06049"</f>
        <v>06049</v>
      </c>
      <c r="B1815" t="s">
        <v>165</v>
      </c>
      <c r="C1815" t="s">
        <v>163</v>
      </c>
    </row>
    <row r="1816" spans="1:3" x14ac:dyDescent="0.2">
      <c r="A1816" t="str">
        <f>"06055"</f>
        <v>06055</v>
      </c>
      <c r="B1816" t="s">
        <v>73</v>
      </c>
      <c r="C1816" t="s">
        <v>68</v>
      </c>
    </row>
    <row r="1817" spans="1:3" x14ac:dyDescent="0.2">
      <c r="A1817" t="str">
        <f>"06058"</f>
        <v>06058</v>
      </c>
      <c r="B1817" t="s">
        <v>1986</v>
      </c>
      <c r="C1817" t="s">
        <v>171</v>
      </c>
    </row>
    <row r="1818" spans="1:3" x14ac:dyDescent="0.2">
      <c r="A1818" t="str">
        <f>"06060"</f>
        <v>06060</v>
      </c>
      <c r="B1818" t="s">
        <v>190</v>
      </c>
      <c r="C1818" t="s">
        <v>188</v>
      </c>
    </row>
    <row r="1819" spans="1:3" x14ac:dyDescent="0.2">
      <c r="A1819" t="str">
        <f>"06063"</f>
        <v>06063</v>
      </c>
      <c r="B1819" t="s">
        <v>1987</v>
      </c>
      <c r="C1819" t="s">
        <v>162</v>
      </c>
    </row>
    <row r="1820" spans="1:3" x14ac:dyDescent="0.2">
      <c r="A1820" t="str">
        <f>"06066"</f>
        <v>06066</v>
      </c>
      <c r="B1820" t="s">
        <v>180</v>
      </c>
      <c r="C1820" t="s">
        <v>171</v>
      </c>
    </row>
    <row r="1821" spans="1:3" x14ac:dyDescent="0.2">
      <c r="A1821" t="str">
        <f>"06069"</f>
        <v>06069</v>
      </c>
      <c r="B1821" t="s">
        <v>179</v>
      </c>
      <c r="C1821" t="s">
        <v>171</v>
      </c>
    </row>
    <row r="1822" spans="1:3" x14ac:dyDescent="0.2">
      <c r="A1822" t="str">
        <f>"06078"</f>
        <v>06078</v>
      </c>
      <c r="B1822" t="s">
        <v>13</v>
      </c>
      <c r="C1822" t="s">
        <v>911</v>
      </c>
    </row>
    <row r="1823" spans="1:3" x14ac:dyDescent="0.2">
      <c r="A1823" t="str">
        <f>"06080"</f>
        <v>06080</v>
      </c>
      <c r="B1823" t="s">
        <v>1988</v>
      </c>
      <c r="C1823" t="s">
        <v>162</v>
      </c>
    </row>
    <row r="1824" spans="1:3" x14ac:dyDescent="0.2">
      <c r="A1824" t="str">
        <f>"06082"</f>
        <v>06082</v>
      </c>
      <c r="B1824" t="s">
        <v>1989</v>
      </c>
      <c r="C1824" t="s">
        <v>137</v>
      </c>
    </row>
    <row r="1825" spans="1:3" x14ac:dyDescent="0.2">
      <c r="A1825" t="str">
        <f>"06083"</f>
        <v>06083</v>
      </c>
      <c r="B1825" t="s">
        <v>1990</v>
      </c>
      <c r="C1825" t="s">
        <v>217</v>
      </c>
    </row>
    <row r="1826" spans="1:3" x14ac:dyDescent="0.2">
      <c r="A1826" t="str">
        <f>"06086"</f>
        <v>06086</v>
      </c>
      <c r="B1826" t="s">
        <v>42</v>
      </c>
      <c r="C1826" t="s">
        <v>25</v>
      </c>
    </row>
    <row r="1827" spans="1:3" x14ac:dyDescent="0.2">
      <c r="A1827" t="str">
        <f>"06088"</f>
        <v>06088</v>
      </c>
      <c r="B1827" t="s">
        <v>1991</v>
      </c>
      <c r="C1827" t="s">
        <v>233</v>
      </c>
    </row>
    <row r="1828" spans="1:3" x14ac:dyDescent="0.2">
      <c r="A1828" t="str">
        <f>"06090"</f>
        <v>06090</v>
      </c>
      <c r="B1828" t="s">
        <v>875</v>
      </c>
      <c r="C1828" t="s">
        <v>120</v>
      </c>
    </row>
    <row r="1829" spans="1:3" x14ac:dyDescent="0.2">
      <c r="A1829" t="str">
        <f>"06093"</f>
        <v>06093</v>
      </c>
      <c r="B1829" t="s">
        <v>1992</v>
      </c>
      <c r="C1829" t="s">
        <v>163</v>
      </c>
    </row>
    <row r="1830" spans="1:3" x14ac:dyDescent="0.2">
      <c r="A1830" t="str">
        <f>"06098"</f>
        <v>06098</v>
      </c>
      <c r="B1830" t="s">
        <v>164</v>
      </c>
      <c r="C1830" t="s">
        <v>163</v>
      </c>
    </row>
    <row r="1831" spans="1:3" x14ac:dyDescent="0.2">
      <c r="A1831" t="str">
        <f>"06099"</f>
        <v>06099</v>
      </c>
      <c r="B1831" t="s">
        <v>178</v>
      </c>
      <c r="C1831" t="s">
        <v>171</v>
      </c>
    </row>
    <row r="1832" spans="1:3" x14ac:dyDescent="0.2">
      <c r="A1832" t="str">
        <f>"06100"</f>
        <v>06100</v>
      </c>
      <c r="B1832" t="s">
        <v>94</v>
      </c>
      <c r="C1832" t="s">
        <v>89</v>
      </c>
    </row>
    <row r="1833" spans="1:3" x14ac:dyDescent="0.2">
      <c r="A1833" t="str">
        <f>"06110"</f>
        <v>06110</v>
      </c>
      <c r="B1833" t="s">
        <v>84</v>
      </c>
      <c r="C1833" t="s">
        <v>81</v>
      </c>
    </row>
    <row r="1834" spans="1:3" x14ac:dyDescent="0.2">
      <c r="A1834" t="str">
        <f>"06113"</f>
        <v>06113</v>
      </c>
      <c r="B1834" t="s">
        <v>1993</v>
      </c>
      <c r="C1834" t="s">
        <v>97</v>
      </c>
    </row>
    <row r="1835" spans="1:3" x14ac:dyDescent="0.2">
      <c r="A1835" t="str">
        <f>"06117"</f>
        <v>06117</v>
      </c>
      <c r="B1835" t="s">
        <v>1994</v>
      </c>
      <c r="C1835" t="s">
        <v>220</v>
      </c>
    </row>
    <row r="1836" spans="1:3" x14ac:dyDescent="0.2">
      <c r="A1836" t="str">
        <f>"06118"</f>
        <v>06118</v>
      </c>
      <c r="B1836" t="s">
        <v>1995</v>
      </c>
      <c r="C1836" t="s">
        <v>25</v>
      </c>
    </row>
    <row r="1837" spans="1:3" x14ac:dyDescent="0.2">
      <c r="A1837" t="str">
        <f>"06119"</f>
        <v>06119</v>
      </c>
      <c r="B1837" t="s">
        <v>1996</v>
      </c>
      <c r="C1837" t="s">
        <v>220</v>
      </c>
    </row>
    <row r="1838" spans="1:3" x14ac:dyDescent="0.2">
      <c r="A1838" t="str">
        <f>"06123"</f>
        <v>06123</v>
      </c>
      <c r="B1838" t="s">
        <v>1997</v>
      </c>
      <c r="C1838" t="s">
        <v>220</v>
      </c>
    </row>
    <row r="1839" spans="1:3" x14ac:dyDescent="0.2">
      <c r="A1839" t="str">
        <f>"06127"</f>
        <v>06127</v>
      </c>
      <c r="B1839" t="s">
        <v>41</v>
      </c>
      <c r="C1839" t="s">
        <v>25</v>
      </c>
    </row>
    <row r="1840" spans="1:3" x14ac:dyDescent="0.2">
      <c r="A1840" t="str">
        <f>"06133"</f>
        <v>06133</v>
      </c>
      <c r="B1840" t="s">
        <v>1998</v>
      </c>
      <c r="C1840" t="s">
        <v>154</v>
      </c>
    </row>
    <row r="1841" spans="1:3" x14ac:dyDescent="0.2">
      <c r="A1841" t="str">
        <f>"06136"</f>
        <v>06136</v>
      </c>
      <c r="B1841" t="s">
        <v>876</v>
      </c>
      <c r="C1841" t="s">
        <v>208</v>
      </c>
    </row>
    <row r="1842" spans="1:3" x14ac:dyDescent="0.2">
      <c r="A1842" t="str">
        <f>"06138"</f>
        <v>06138</v>
      </c>
      <c r="B1842" t="s">
        <v>1999</v>
      </c>
      <c r="C1842" t="s">
        <v>196</v>
      </c>
    </row>
    <row r="1843" spans="1:3" x14ac:dyDescent="0.2">
      <c r="A1843" t="str">
        <f>"06160"</f>
        <v>06160</v>
      </c>
      <c r="B1843" t="s">
        <v>40</v>
      </c>
      <c r="C1843" t="s">
        <v>25</v>
      </c>
    </row>
    <row r="1844" spans="1:3" x14ac:dyDescent="0.2">
      <c r="A1844" t="str">
        <f>"06162"</f>
        <v>06162</v>
      </c>
      <c r="B1844" t="s">
        <v>877</v>
      </c>
      <c r="C1844" t="s">
        <v>127</v>
      </c>
    </row>
    <row r="1845" spans="1:3" x14ac:dyDescent="0.2">
      <c r="A1845" t="str">
        <f>"06163"</f>
        <v>06163</v>
      </c>
      <c r="B1845" t="s">
        <v>2000</v>
      </c>
      <c r="C1845" t="s">
        <v>233</v>
      </c>
    </row>
    <row r="1846" spans="1:3" x14ac:dyDescent="0.2">
      <c r="A1846" t="str">
        <f>"06166"</f>
        <v>06166</v>
      </c>
      <c r="B1846" t="s">
        <v>878</v>
      </c>
      <c r="C1846" t="s">
        <v>154</v>
      </c>
    </row>
    <row r="1847" spans="1:3" x14ac:dyDescent="0.2">
      <c r="A1847" t="str">
        <f>"06168"</f>
        <v>06168</v>
      </c>
      <c r="B1847" t="s">
        <v>879</v>
      </c>
      <c r="C1847" t="s">
        <v>81</v>
      </c>
    </row>
    <row r="1848" spans="1:3" x14ac:dyDescent="0.2">
      <c r="A1848" t="str">
        <f>"06169"</f>
        <v>06169</v>
      </c>
      <c r="B1848" t="s">
        <v>880</v>
      </c>
      <c r="C1848" t="s">
        <v>89</v>
      </c>
    </row>
    <row r="1849" spans="1:3" x14ac:dyDescent="0.2">
      <c r="A1849" t="str">
        <f>"06178"</f>
        <v>06178</v>
      </c>
      <c r="B1849" t="s">
        <v>177</v>
      </c>
      <c r="C1849" t="s">
        <v>171</v>
      </c>
    </row>
    <row r="1850" spans="1:3" x14ac:dyDescent="0.2">
      <c r="A1850" t="str">
        <f>"06181"</f>
        <v>06181</v>
      </c>
      <c r="B1850" t="s">
        <v>113</v>
      </c>
      <c r="C1850" t="s">
        <v>112</v>
      </c>
    </row>
    <row r="1851" spans="1:3" x14ac:dyDescent="0.2">
      <c r="A1851" t="str">
        <f>"06182"</f>
        <v>06182</v>
      </c>
      <c r="B1851" t="s">
        <v>881</v>
      </c>
      <c r="C1851" t="s">
        <v>162</v>
      </c>
    </row>
    <row r="1852" spans="1:3" x14ac:dyDescent="0.2">
      <c r="A1852" t="str">
        <f>"06185"</f>
        <v>06185</v>
      </c>
      <c r="B1852" t="s">
        <v>39</v>
      </c>
      <c r="C1852" t="s">
        <v>25</v>
      </c>
    </row>
    <row r="1853" spans="1:3" x14ac:dyDescent="0.2">
      <c r="A1853" t="str">
        <f>"06186"</f>
        <v>06186</v>
      </c>
      <c r="B1853" t="s">
        <v>72</v>
      </c>
      <c r="C1853" t="s">
        <v>68</v>
      </c>
    </row>
    <row r="1854" spans="1:3" x14ac:dyDescent="0.2">
      <c r="A1854" t="str">
        <f>"06188"</f>
        <v>06188</v>
      </c>
      <c r="B1854" t="s">
        <v>2001</v>
      </c>
      <c r="C1854" t="s">
        <v>154</v>
      </c>
    </row>
    <row r="1855" spans="1:3" x14ac:dyDescent="0.2">
      <c r="A1855" t="str">
        <f>"06190"</f>
        <v>06190</v>
      </c>
      <c r="B1855" t="s">
        <v>2002</v>
      </c>
      <c r="C1855" t="s">
        <v>196</v>
      </c>
    </row>
    <row r="1856" spans="1:3" x14ac:dyDescent="0.2">
      <c r="A1856" t="str">
        <f>"06193"</f>
        <v>06193</v>
      </c>
      <c r="B1856" t="s">
        <v>2003</v>
      </c>
      <c r="C1856" t="s">
        <v>162</v>
      </c>
    </row>
    <row r="1857" spans="1:3" x14ac:dyDescent="0.2">
      <c r="A1857" t="str">
        <f>"06196"</f>
        <v>06196</v>
      </c>
      <c r="B1857" t="s">
        <v>198</v>
      </c>
      <c r="C1857" t="s">
        <v>196</v>
      </c>
    </row>
    <row r="1858" spans="1:3" x14ac:dyDescent="0.2">
      <c r="A1858" t="str">
        <f>"06198"</f>
        <v>06198</v>
      </c>
      <c r="B1858" t="s">
        <v>224</v>
      </c>
      <c r="C1858" t="s">
        <v>220</v>
      </c>
    </row>
    <row r="1859" spans="1:3" x14ac:dyDescent="0.2">
      <c r="A1859" t="str">
        <f>"06199"</f>
        <v>06199</v>
      </c>
      <c r="B1859" t="s">
        <v>2004</v>
      </c>
      <c r="C1859" t="s">
        <v>196</v>
      </c>
    </row>
    <row r="1860" spans="1:3" x14ac:dyDescent="0.2">
      <c r="A1860" t="str">
        <f>"06288"</f>
        <v>06288</v>
      </c>
      <c r="B1860" t="s">
        <v>2005</v>
      </c>
      <c r="C1860" t="s">
        <v>112</v>
      </c>
    </row>
    <row r="1861" spans="1:3" x14ac:dyDescent="0.2">
      <c r="A1861" t="str">
        <f>"06600"</f>
        <v>06600</v>
      </c>
      <c r="B1861" t="s">
        <v>2006</v>
      </c>
      <c r="C1861" t="s">
        <v>120</v>
      </c>
    </row>
    <row r="1862" spans="1:3" x14ac:dyDescent="0.2">
      <c r="A1862" t="str">
        <f>"06601"</f>
        <v>06601</v>
      </c>
      <c r="B1862" t="s">
        <v>125</v>
      </c>
      <c r="C1862" t="s">
        <v>63</v>
      </c>
    </row>
    <row r="1863" spans="1:3" x14ac:dyDescent="0.2">
      <c r="A1863" t="str">
        <f>"06603"</f>
        <v>06603</v>
      </c>
      <c r="B1863" t="s">
        <v>882</v>
      </c>
      <c r="C1863" t="s">
        <v>68</v>
      </c>
    </row>
    <row r="1864" spans="1:3" x14ac:dyDescent="0.2">
      <c r="A1864" t="str">
        <f>"06608"</f>
        <v>06608</v>
      </c>
      <c r="B1864" t="s">
        <v>140</v>
      </c>
      <c r="C1864" t="s">
        <v>137</v>
      </c>
    </row>
    <row r="1865" spans="1:3" x14ac:dyDescent="0.2">
      <c r="A1865" t="str">
        <f>"06609"</f>
        <v>06609</v>
      </c>
      <c r="B1865" t="s">
        <v>4</v>
      </c>
      <c r="C1865" t="s">
        <v>911</v>
      </c>
    </row>
    <row r="1866" spans="1:3" x14ac:dyDescent="0.2">
      <c r="A1866" t="str">
        <f>"06610"</f>
        <v>06610</v>
      </c>
      <c r="B1866" t="s">
        <v>2007</v>
      </c>
      <c r="C1866" t="s">
        <v>137</v>
      </c>
    </row>
    <row r="1867" spans="1:3" x14ac:dyDescent="0.2">
      <c r="A1867" t="str">
        <f>"06613"</f>
        <v>06613</v>
      </c>
      <c r="B1867" t="s">
        <v>883</v>
      </c>
      <c r="C1867" t="s">
        <v>233</v>
      </c>
    </row>
    <row r="1868" spans="1:3" x14ac:dyDescent="0.2">
      <c r="A1868" t="str">
        <f>"06616"</f>
        <v>06616</v>
      </c>
      <c r="B1868" t="s">
        <v>260</v>
      </c>
      <c r="C1868" t="s">
        <v>257</v>
      </c>
    </row>
    <row r="1869" spans="1:3" x14ac:dyDescent="0.2">
      <c r="A1869" t="str">
        <f>"06618"</f>
        <v>06618</v>
      </c>
      <c r="B1869" t="s">
        <v>38</v>
      </c>
      <c r="C1869" t="s">
        <v>25</v>
      </c>
    </row>
    <row r="1870" spans="1:3" x14ac:dyDescent="0.2">
      <c r="A1870" t="str">
        <f>"06622"</f>
        <v>06622</v>
      </c>
      <c r="B1870" t="s">
        <v>2008</v>
      </c>
      <c r="C1870" t="s">
        <v>25</v>
      </c>
    </row>
    <row r="1871" spans="1:3" x14ac:dyDescent="0.2">
      <c r="A1871" t="str">
        <f>"06623"</f>
        <v>06623</v>
      </c>
      <c r="B1871" t="s">
        <v>2009</v>
      </c>
      <c r="C1871" t="s">
        <v>171</v>
      </c>
    </row>
    <row r="1872" spans="1:3" x14ac:dyDescent="0.2">
      <c r="A1872" t="str">
        <f>"06626"</f>
        <v>06626</v>
      </c>
      <c r="B1872" t="s">
        <v>884</v>
      </c>
      <c r="C1872" t="s">
        <v>163</v>
      </c>
    </row>
    <row r="1873" spans="1:3" x14ac:dyDescent="0.2">
      <c r="A1873" t="str">
        <f>"06628"</f>
        <v>06628</v>
      </c>
      <c r="B1873" t="s">
        <v>2010</v>
      </c>
      <c r="C1873" t="s">
        <v>25</v>
      </c>
    </row>
    <row r="1874" spans="1:3" x14ac:dyDescent="0.2">
      <c r="A1874" t="str">
        <f>"06633"</f>
        <v>06633</v>
      </c>
      <c r="B1874" t="s">
        <v>2011</v>
      </c>
      <c r="C1874" t="s">
        <v>137</v>
      </c>
    </row>
    <row r="1875" spans="1:3" x14ac:dyDescent="0.2">
      <c r="A1875" t="str">
        <f>"06636"</f>
        <v>06636</v>
      </c>
      <c r="B1875" t="s">
        <v>2012</v>
      </c>
      <c r="C1875" t="s">
        <v>137</v>
      </c>
    </row>
    <row r="1876" spans="1:3" x14ac:dyDescent="0.2">
      <c r="A1876" t="str">
        <f>"06639"</f>
        <v>06639</v>
      </c>
      <c r="B1876" t="s">
        <v>2013</v>
      </c>
      <c r="C1876" t="s">
        <v>911</v>
      </c>
    </row>
    <row r="1877" spans="1:3" x14ac:dyDescent="0.2">
      <c r="A1877" t="str">
        <f>"06651"</f>
        <v>06651</v>
      </c>
      <c r="B1877" t="s">
        <v>2014</v>
      </c>
      <c r="C1877" t="s">
        <v>137</v>
      </c>
    </row>
    <row r="1878" spans="1:3" x14ac:dyDescent="0.2">
      <c r="A1878" t="str">
        <f>"06655"</f>
        <v>06655</v>
      </c>
      <c r="B1878" t="s">
        <v>885</v>
      </c>
      <c r="C1878" t="s">
        <v>162</v>
      </c>
    </row>
    <row r="1879" spans="1:3" x14ac:dyDescent="0.2">
      <c r="A1879" t="str">
        <f>"06656"</f>
        <v>06656</v>
      </c>
      <c r="B1879" t="s">
        <v>2015</v>
      </c>
      <c r="C1879" t="s">
        <v>233</v>
      </c>
    </row>
    <row r="1880" spans="1:3" x14ac:dyDescent="0.2">
      <c r="A1880" t="str">
        <f>"06657"</f>
        <v>06657</v>
      </c>
      <c r="B1880" t="s">
        <v>2016</v>
      </c>
      <c r="C1880" t="s">
        <v>137</v>
      </c>
    </row>
    <row r="1881" spans="1:3" x14ac:dyDescent="0.2">
      <c r="A1881" t="str">
        <f>"06658"</f>
        <v>06658</v>
      </c>
      <c r="B1881" t="s">
        <v>2017</v>
      </c>
      <c r="C1881" t="s">
        <v>68</v>
      </c>
    </row>
    <row r="1882" spans="1:3" x14ac:dyDescent="0.2">
      <c r="A1882" t="str">
        <f>"06660"</f>
        <v>06660</v>
      </c>
      <c r="B1882" t="s">
        <v>2018</v>
      </c>
      <c r="C1882" t="s">
        <v>25</v>
      </c>
    </row>
    <row r="1883" spans="1:3" x14ac:dyDescent="0.2">
      <c r="A1883" t="str">
        <f>"06661"</f>
        <v>06661</v>
      </c>
      <c r="B1883" t="s">
        <v>2019</v>
      </c>
      <c r="C1883" t="s">
        <v>208</v>
      </c>
    </row>
    <row r="1884" spans="1:3" x14ac:dyDescent="0.2">
      <c r="A1884" t="str">
        <f>"06663"</f>
        <v>06663</v>
      </c>
      <c r="B1884" t="s">
        <v>2020</v>
      </c>
      <c r="C1884" t="s">
        <v>89</v>
      </c>
    </row>
    <row r="1885" spans="1:3" x14ac:dyDescent="0.2">
      <c r="A1885" t="str">
        <f>"06666"</f>
        <v>06666</v>
      </c>
      <c r="B1885" t="s">
        <v>886</v>
      </c>
      <c r="C1885" t="s">
        <v>163</v>
      </c>
    </row>
    <row r="1886" spans="1:3" x14ac:dyDescent="0.2">
      <c r="A1886" t="str">
        <f>"06667"</f>
        <v>06667</v>
      </c>
      <c r="B1886" t="s">
        <v>2021</v>
      </c>
      <c r="C1886" t="s">
        <v>25</v>
      </c>
    </row>
    <row r="1887" spans="1:3" x14ac:dyDescent="0.2">
      <c r="A1887" t="str">
        <f>"06668"</f>
        <v>06668</v>
      </c>
      <c r="B1887" t="s">
        <v>2022</v>
      </c>
      <c r="C1887" t="s">
        <v>163</v>
      </c>
    </row>
    <row r="1888" spans="1:3" x14ac:dyDescent="0.2">
      <c r="A1888" t="str">
        <f>"06669"</f>
        <v>06669</v>
      </c>
      <c r="B1888" t="s">
        <v>3</v>
      </c>
      <c r="C1888" t="s">
        <v>911</v>
      </c>
    </row>
    <row r="1889" spans="1:3" x14ac:dyDescent="0.2">
      <c r="A1889" t="str">
        <f>"06675"</f>
        <v>06675</v>
      </c>
      <c r="B1889" t="s">
        <v>2023</v>
      </c>
      <c r="C1889" t="s">
        <v>135</v>
      </c>
    </row>
    <row r="1890" spans="1:3" x14ac:dyDescent="0.2">
      <c r="A1890" t="str">
        <f>"06676"</f>
        <v>06676</v>
      </c>
      <c r="B1890" t="s">
        <v>2024</v>
      </c>
      <c r="C1890" t="s">
        <v>264</v>
      </c>
    </row>
    <row r="1891" spans="1:3" x14ac:dyDescent="0.2">
      <c r="A1891" t="str">
        <f>"06677"</f>
        <v>06677</v>
      </c>
      <c r="B1891" t="s">
        <v>2025</v>
      </c>
      <c r="C1891" t="s">
        <v>163</v>
      </c>
    </row>
    <row r="1892" spans="1:3" x14ac:dyDescent="0.2">
      <c r="A1892" t="str">
        <f>"06680"</f>
        <v>06680</v>
      </c>
      <c r="B1892" t="s">
        <v>268</v>
      </c>
      <c r="C1892" t="s">
        <v>264</v>
      </c>
    </row>
    <row r="1893" spans="1:3" x14ac:dyDescent="0.2">
      <c r="A1893" t="str">
        <f>"06681"</f>
        <v>06681</v>
      </c>
      <c r="B1893" t="s">
        <v>2</v>
      </c>
      <c r="C1893" t="s">
        <v>911</v>
      </c>
    </row>
    <row r="1894" spans="1:3" x14ac:dyDescent="0.2">
      <c r="A1894" t="str">
        <f>"06682"</f>
        <v>06682</v>
      </c>
      <c r="B1894" t="s">
        <v>2026</v>
      </c>
      <c r="C1894" t="s">
        <v>137</v>
      </c>
    </row>
    <row r="1895" spans="1:3" x14ac:dyDescent="0.2">
      <c r="A1895" t="str">
        <f>"06683"</f>
        <v>06683</v>
      </c>
      <c r="B1895" t="s">
        <v>71</v>
      </c>
      <c r="C1895" t="s">
        <v>68</v>
      </c>
    </row>
    <row r="1896" spans="1:3" x14ac:dyDescent="0.2">
      <c r="A1896" t="str">
        <f>"06686"</f>
        <v>06686</v>
      </c>
      <c r="B1896" t="s">
        <v>2027</v>
      </c>
      <c r="C1896" t="s">
        <v>171</v>
      </c>
    </row>
    <row r="1897" spans="1:3" x14ac:dyDescent="0.2">
      <c r="A1897" t="str">
        <f>"06687"</f>
        <v>06687</v>
      </c>
      <c r="B1897" t="s">
        <v>887</v>
      </c>
      <c r="C1897" t="s">
        <v>137</v>
      </c>
    </row>
    <row r="1898" spans="1:3" x14ac:dyDescent="0.2">
      <c r="A1898" t="str">
        <f>"06690"</f>
        <v>06690</v>
      </c>
      <c r="B1898" t="s">
        <v>124</v>
      </c>
      <c r="C1898" t="s">
        <v>120</v>
      </c>
    </row>
    <row r="1899" spans="1:3" x14ac:dyDescent="0.2">
      <c r="A1899" t="str">
        <f>"06693"</f>
        <v>06693</v>
      </c>
      <c r="B1899" t="s">
        <v>274</v>
      </c>
      <c r="C1899" t="s">
        <v>272</v>
      </c>
    </row>
    <row r="1900" spans="1:3" x14ac:dyDescent="0.2">
      <c r="A1900" t="str">
        <f>"06696"</f>
        <v>06696</v>
      </c>
      <c r="B1900" t="s">
        <v>2028</v>
      </c>
      <c r="C1900" t="s">
        <v>97</v>
      </c>
    </row>
    <row r="1901" spans="1:3" x14ac:dyDescent="0.2">
      <c r="A1901" t="str">
        <f>"06698"</f>
        <v>06698</v>
      </c>
      <c r="B1901" t="s">
        <v>2029</v>
      </c>
      <c r="C1901" t="s">
        <v>97</v>
      </c>
    </row>
    <row r="1902" spans="1:3" x14ac:dyDescent="0.2">
      <c r="A1902" t="str">
        <f>"06699"</f>
        <v>06699</v>
      </c>
      <c r="B1902" t="s">
        <v>12</v>
      </c>
      <c r="C1902" t="s">
        <v>911</v>
      </c>
    </row>
    <row r="1903" spans="1:3" x14ac:dyDescent="0.2">
      <c r="A1903" t="str">
        <f>"06805"</f>
        <v>06805</v>
      </c>
      <c r="B1903" t="s">
        <v>2030</v>
      </c>
      <c r="C1903" t="s">
        <v>233</v>
      </c>
    </row>
    <row r="1904" spans="1:3" x14ac:dyDescent="0.2">
      <c r="A1904" t="str">
        <f>"06806"</f>
        <v>06806</v>
      </c>
      <c r="B1904" t="s">
        <v>176</v>
      </c>
      <c r="C1904" t="s">
        <v>171</v>
      </c>
    </row>
    <row r="1905" spans="1:3" x14ac:dyDescent="0.2">
      <c r="A1905" t="str">
        <f>"06808"</f>
        <v>06808</v>
      </c>
      <c r="B1905" t="s">
        <v>65</v>
      </c>
      <c r="C1905" t="s">
        <v>63</v>
      </c>
    </row>
    <row r="1906" spans="1:3" x14ac:dyDescent="0.2">
      <c r="A1906" t="str">
        <f>"06809"</f>
        <v>06809</v>
      </c>
      <c r="B1906" t="s">
        <v>2031</v>
      </c>
      <c r="C1906" t="s">
        <v>135</v>
      </c>
    </row>
    <row r="1907" spans="1:3" x14ac:dyDescent="0.2">
      <c r="A1907" t="str">
        <f>"06810"</f>
        <v>06810</v>
      </c>
      <c r="B1907" t="s">
        <v>2032</v>
      </c>
      <c r="C1907" t="s">
        <v>154</v>
      </c>
    </row>
    <row r="1908" spans="1:3" x14ac:dyDescent="0.2">
      <c r="A1908" t="str">
        <f>"06811"</f>
        <v>06811</v>
      </c>
      <c r="B1908" t="s">
        <v>2033</v>
      </c>
      <c r="C1908" t="s">
        <v>101</v>
      </c>
    </row>
    <row r="1909" spans="1:3" x14ac:dyDescent="0.2">
      <c r="A1909" t="str">
        <f>"06812"</f>
        <v>06812</v>
      </c>
      <c r="B1909" t="s">
        <v>2034</v>
      </c>
      <c r="C1909" t="s">
        <v>89</v>
      </c>
    </row>
    <row r="1910" spans="1:3" x14ac:dyDescent="0.2">
      <c r="A1910" t="str">
        <f>"06816"</f>
        <v>06816</v>
      </c>
      <c r="B1910" t="s">
        <v>2035</v>
      </c>
      <c r="C1910" t="s">
        <v>162</v>
      </c>
    </row>
    <row r="1911" spans="1:3" x14ac:dyDescent="0.2">
      <c r="A1911" t="str">
        <f>"06818"</f>
        <v>06818</v>
      </c>
      <c r="B1911" t="s">
        <v>197</v>
      </c>
      <c r="C1911" t="s">
        <v>196</v>
      </c>
    </row>
    <row r="1912" spans="1:3" x14ac:dyDescent="0.2">
      <c r="A1912" t="str">
        <f>"06820"</f>
        <v>06820</v>
      </c>
      <c r="B1912" t="s">
        <v>2036</v>
      </c>
      <c r="C1912" t="s">
        <v>137</v>
      </c>
    </row>
    <row r="1913" spans="1:3" x14ac:dyDescent="0.2">
      <c r="A1913" t="str">
        <f>"06821"</f>
        <v>06821</v>
      </c>
      <c r="B1913" t="s">
        <v>37</v>
      </c>
      <c r="C1913" t="s">
        <v>25</v>
      </c>
    </row>
    <row r="1914" spans="1:3" x14ac:dyDescent="0.2">
      <c r="A1914" t="str">
        <f>"06822"</f>
        <v>06822</v>
      </c>
      <c r="B1914" t="s">
        <v>2037</v>
      </c>
      <c r="C1914" t="s">
        <v>120</v>
      </c>
    </row>
    <row r="1915" spans="1:3" x14ac:dyDescent="0.2">
      <c r="A1915" t="str">
        <f>"06823"</f>
        <v>06823</v>
      </c>
      <c r="B1915" t="s">
        <v>214</v>
      </c>
      <c r="C1915" t="s">
        <v>215</v>
      </c>
    </row>
    <row r="1916" spans="1:3" x14ac:dyDescent="0.2">
      <c r="A1916" t="str">
        <f>"06826"</f>
        <v>06826</v>
      </c>
      <c r="B1916" t="s">
        <v>11</v>
      </c>
      <c r="C1916" t="s">
        <v>911</v>
      </c>
    </row>
    <row r="1917" spans="1:3" x14ac:dyDescent="0.2">
      <c r="A1917" t="str">
        <f>"06829"</f>
        <v>06829</v>
      </c>
      <c r="B1917" t="s">
        <v>2038</v>
      </c>
      <c r="C1917" t="s">
        <v>162</v>
      </c>
    </row>
    <row r="1918" spans="1:3" x14ac:dyDescent="0.2">
      <c r="A1918" t="str">
        <f>"06830"</f>
        <v>06830</v>
      </c>
      <c r="B1918" t="s">
        <v>2039</v>
      </c>
      <c r="C1918" t="s">
        <v>127</v>
      </c>
    </row>
    <row r="1919" spans="1:3" x14ac:dyDescent="0.2">
      <c r="A1919" t="str">
        <f>"06831"</f>
        <v>06831</v>
      </c>
      <c r="B1919" t="s">
        <v>102</v>
      </c>
      <c r="C1919" t="s">
        <v>101</v>
      </c>
    </row>
    <row r="1920" spans="1:3" x14ac:dyDescent="0.2">
      <c r="A1920" t="str">
        <f>"06833"</f>
        <v>06833</v>
      </c>
      <c r="B1920" t="s">
        <v>2040</v>
      </c>
      <c r="C1920" t="s">
        <v>25</v>
      </c>
    </row>
    <row r="1921" spans="1:3" x14ac:dyDescent="0.2">
      <c r="A1921" t="str">
        <f>"06838"</f>
        <v>06838</v>
      </c>
      <c r="B1921" t="s">
        <v>2041</v>
      </c>
      <c r="C1921" t="s">
        <v>112</v>
      </c>
    </row>
    <row r="1922" spans="1:3" x14ac:dyDescent="0.2">
      <c r="A1922" t="str">
        <f>"06855"</f>
        <v>06855</v>
      </c>
      <c r="B1922" t="s">
        <v>2042</v>
      </c>
      <c r="C1922" t="s">
        <v>25</v>
      </c>
    </row>
    <row r="1923" spans="1:3" x14ac:dyDescent="0.2">
      <c r="A1923" t="str">
        <f>"06858"</f>
        <v>06858</v>
      </c>
      <c r="B1923" t="s">
        <v>2043</v>
      </c>
      <c r="C1923" t="s">
        <v>120</v>
      </c>
    </row>
    <row r="1924" spans="1:3" x14ac:dyDescent="0.2">
      <c r="A1924" t="str">
        <f>"06860"</f>
        <v>06860</v>
      </c>
      <c r="B1924" t="s">
        <v>2044</v>
      </c>
      <c r="C1924" t="s">
        <v>137</v>
      </c>
    </row>
    <row r="1925" spans="1:3" x14ac:dyDescent="0.2">
      <c r="A1925" t="str">
        <f>"06862"</f>
        <v>06862</v>
      </c>
      <c r="B1925" t="s">
        <v>106</v>
      </c>
      <c r="C1925" t="s">
        <v>101</v>
      </c>
    </row>
    <row r="1926" spans="1:3" x14ac:dyDescent="0.2">
      <c r="A1926" t="str">
        <f>"06865"</f>
        <v>06865</v>
      </c>
      <c r="B1926" t="s">
        <v>239</v>
      </c>
      <c r="C1926" t="s">
        <v>233</v>
      </c>
    </row>
    <row r="1927" spans="1:3" x14ac:dyDescent="0.2">
      <c r="A1927" t="str">
        <f>"06868"</f>
        <v>06868</v>
      </c>
      <c r="B1927" t="s">
        <v>2045</v>
      </c>
      <c r="C1927" t="s">
        <v>68</v>
      </c>
    </row>
    <row r="1928" spans="1:3" x14ac:dyDescent="0.2">
      <c r="A1928" t="str">
        <f>"06869"</f>
        <v>06869</v>
      </c>
      <c r="B1928" t="s">
        <v>158</v>
      </c>
      <c r="C1928" t="s">
        <v>154</v>
      </c>
    </row>
    <row r="1929" spans="1:3" x14ac:dyDescent="0.2">
      <c r="A1929" t="str">
        <f>"06871"</f>
        <v>06871</v>
      </c>
      <c r="B1929" t="s">
        <v>2046</v>
      </c>
      <c r="C1929" t="s">
        <v>233</v>
      </c>
    </row>
    <row r="1930" spans="1:3" x14ac:dyDescent="0.2">
      <c r="A1930" t="str">
        <f>"06872"</f>
        <v>06872</v>
      </c>
      <c r="B1930" t="s">
        <v>2047</v>
      </c>
      <c r="C1930" t="s">
        <v>25</v>
      </c>
    </row>
    <row r="1931" spans="1:3" x14ac:dyDescent="0.2">
      <c r="A1931" t="str">
        <f>"06881"</f>
        <v>06881</v>
      </c>
      <c r="B1931" t="s">
        <v>175</v>
      </c>
      <c r="C1931" t="s">
        <v>171</v>
      </c>
    </row>
    <row r="1932" spans="1:3" x14ac:dyDescent="0.2">
      <c r="A1932" t="str">
        <f>"06882"</f>
        <v>06882</v>
      </c>
      <c r="B1932" t="s">
        <v>2048</v>
      </c>
      <c r="C1932" t="s">
        <v>101</v>
      </c>
    </row>
    <row r="1933" spans="1:3" x14ac:dyDescent="0.2">
      <c r="A1933" t="str">
        <f>"06883"</f>
        <v>06883</v>
      </c>
      <c r="B1933" t="s">
        <v>888</v>
      </c>
      <c r="C1933" t="s">
        <v>911</v>
      </c>
    </row>
    <row r="1934" spans="1:3" x14ac:dyDescent="0.2">
      <c r="A1934" t="str">
        <f>"06885"</f>
        <v>06885</v>
      </c>
      <c r="B1934" t="s">
        <v>889</v>
      </c>
      <c r="C1934" t="s">
        <v>912</v>
      </c>
    </row>
    <row r="1935" spans="1:3" x14ac:dyDescent="0.2">
      <c r="A1935" t="str">
        <f>"06886"</f>
        <v>06886</v>
      </c>
      <c r="B1935" t="s">
        <v>2049</v>
      </c>
      <c r="C1935" t="s">
        <v>171</v>
      </c>
    </row>
    <row r="1936" spans="1:3" x14ac:dyDescent="0.2">
      <c r="A1936" t="str">
        <f>"06887"</f>
        <v>06887</v>
      </c>
      <c r="B1936" t="s">
        <v>890</v>
      </c>
      <c r="C1936" t="s">
        <v>25</v>
      </c>
    </row>
    <row r="1937" spans="1:3" x14ac:dyDescent="0.2">
      <c r="A1937" t="str">
        <f>"06889"</f>
        <v>06889</v>
      </c>
      <c r="B1937" t="s">
        <v>2050</v>
      </c>
      <c r="C1937" t="s">
        <v>101</v>
      </c>
    </row>
    <row r="1938" spans="1:3" x14ac:dyDescent="0.2">
      <c r="A1938" t="str">
        <f>"06890"</f>
        <v>06890</v>
      </c>
      <c r="B1938" t="s">
        <v>2051</v>
      </c>
      <c r="C1938" t="s">
        <v>264</v>
      </c>
    </row>
    <row r="1939" spans="1:3" x14ac:dyDescent="0.2">
      <c r="A1939" t="str">
        <f>"06893"</f>
        <v>06893</v>
      </c>
      <c r="B1939" t="s">
        <v>2052</v>
      </c>
      <c r="C1939" t="s">
        <v>911</v>
      </c>
    </row>
    <row r="1940" spans="1:3" x14ac:dyDescent="0.2">
      <c r="A1940" t="str">
        <f>"06896"</f>
        <v>06896</v>
      </c>
      <c r="B1940" t="s">
        <v>26</v>
      </c>
      <c r="C1940" t="s">
        <v>25</v>
      </c>
    </row>
    <row r="1941" spans="1:3" x14ac:dyDescent="0.2">
      <c r="A1941" t="str">
        <f>"06898"</f>
        <v>06898</v>
      </c>
      <c r="B1941" t="s">
        <v>2053</v>
      </c>
      <c r="C1941" t="s">
        <v>217</v>
      </c>
    </row>
    <row r="1942" spans="1:3" x14ac:dyDescent="0.2">
      <c r="A1942" t="str">
        <f>"06899"</f>
        <v>06899</v>
      </c>
      <c r="B1942" t="s">
        <v>2054</v>
      </c>
      <c r="C1942" t="s">
        <v>137</v>
      </c>
    </row>
    <row r="1943" spans="1:3" x14ac:dyDescent="0.2">
      <c r="A1943" t="str">
        <f>"06908"</f>
        <v>06908</v>
      </c>
      <c r="B1943" t="s">
        <v>2055</v>
      </c>
      <c r="C1943" t="s">
        <v>135</v>
      </c>
    </row>
    <row r="1944" spans="1:3" x14ac:dyDescent="0.2">
      <c r="A1944" t="str">
        <f>"06909"</f>
        <v>06909</v>
      </c>
      <c r="B1944" t="s">
        <v>2056</v>
      </c>
      <c r="C1944" t="s">
        <v>81</v>
      </c>
    </row>
    <row r="1945" spans="1:3" x14ac:dyDescent="0.2">
      <c r="A1945" t="str">
        <f>"06911"</f>
        <v>06911</v>
      </c>
      <c r="B1945" t="s">
        <v>2057</v>
      </c>
      <c r="C1945" t="s">
        <v>68</v>
      </c>
    </row>
    <row r="1946" spans="1:3" x14ac:dyDescent="0.2">
      <c r="A1946" t="str">
        <f>"06913"</f>
        <v>06913</v>
      </c>
      <c r="B1946" t="s">
        <v>2058</v>
      </c>
      <c r="C1946" t="s">
        <v>89</v>
      </c>
    </row>
    <row r="1947" spans="1:3" x14ac:dyDescent="0.2">
      <c r="A1947" t="str">
        <f>"06918"</f>
        <v>06918</v>
      </c>
      <c r="B1947" t="s">
        <v>2059</v>
      </c>
      <c r="C1947" t="s">
        <v>120</v>
      </c>
    </row>
    <row r="1948" spans="1:3" x14ac:dyDescent="0.2">
      <c r="A1948" t="str">
        <f>"06919"</f>
        <v>06919</v>
      </c>
      <c r="B1948" t="s">
        <v>2060</v>
      </c>
      <c r="C1948" t="s">
        <v>89</v>
      </c>
    </row>
    <row r="1949" spans="1:3" x14ac:dyDescent="0.2">
      <c r="A1949" t="str">
        <f>"06922"</f>
        <v>06922</v>
      </c>
      <c r="B1949" t="s">
        <v>2061</v>
      </c>
      <c r="C1949" t="s">
        <v>911</v>
      </c>
    </row>
    <row r="1950" spans="1:3" x14ac:dyDescent="0.2">
      <c r="A1950" t="str">
        <f>"06928"</f>
        <v>06928</v>
      </c>
      <c r="B1950" t="s">
        <v>2062</v>
      </c>
      <c r="C1950" t="s">
        <v>127</v>
      </c>
    </row>
    <row r="1951" spans="1:3" x14ac:dyDescent="0.2">
      <c r="A1951" t="str">
        <f>"06929"</f>
        <v>06929</v>
      </c>
      <c r="B1951" t="s">
        <v>10</v>
      </c>
      <c r="C1951" t="s">
        <v>911</v>
      </c>
    </row>
    <row r="1952" spans="1:3" x14ac:dyDescent="0.2">
      <c r="A1952" t="str">
        <f>"06933"</f>
        <v>06933</v>
      </c>
      <c r="B1952" t="s">
        <v>2063</v>
      </c>
      <c r="C1952" t="s">
        <v>137</v>
      </c>
    </row>
    <row r="1953" spans="1:3" x14ac:dyDescent="0.2">
      <c r="A1953" t="str">
        <f>"06936"</f>
        <v>06936</v>
      </c>
      <c r="B1953" t="s">
        <v>223</v>
      </c>
      <c r="C1953" t="s">
        <v>220</v>
      </c>
    </row>
    <row r="1954" spans="1:3" x14ac:dyDescent="0.2">
      <c r="A1954" t="str">
        <f>"06938"</f>
        <v>06938</v>
      </c>
      <c r="B1954" t="s">
        <v>2064</v>
      </c>
      <c r="C1954" t="s">
        <v>25</v>
      </c>
    </row>
    <row r="1955" spans="1:3" x14ac:dyDescent="0.2">
      <c r="A1955" t="str">
        <f>"06939"</f>
        <v>06939</v>
      </c>
      <c r="B1955" t="s">
        <v>2065</v>
      </c>
      <c r="C1955" t="s">
        <v>135</v>
      </c>
    </row>
    <row r="1956" spans="1:3" x14ac:dyDescent="0.2">
      <c r="A1956" t="str">
        <f>"06955"</f>
        <v>06955</v>
      </c>
      <c r="B1956" t="s">
        <v>36</v>
      </c>
      <c r="C1956" t="s">
        <v>25</v>
      </c>
    </row>
    <row r="1957" spans="1:3" x14ac:dyDescent="0.2">
      <c r="A1957" t="str">
        <f>"06959"</f>
        <v>06959</v>
      </c>
      <c r="B1957" t="s">
        <v>2066</v>
      </c>
      <c r="C1957" t="s">
        <v>89</v>
      </c>
    </row>
    <row r="1958" spans="1:3" x14ac:dyDescent="0.2">
      <c r="A1958" t="str">
        <f>"06960"</f>
        <v>06960</v>
      </c>
      <c r="B1958" t="s">
        <v>891</v>
      </c>
      <c r="C1958" t="s">
        <v>233</v>
      </c>
    </row>
    <row r="1959" spans="1:3" x14ac:dyDescent="0.2">
      <c r="A1959" t="str">
        <f>"06963"</f>
        <v>06963</v>
      </c>
      <c r="B1959" t="s">
        <v>189</v>
      </c>
      <c r="C1959" t="s">
        <v>188</v>
      </c>
    </row>
    <row r="1960" spans="1:3" x14ac:dyDescent="0.2">
      <c r="A1960" t="str">
        <f>"06966"</f>
        <v>06966</v>
      </c>
      <c r="B1960" t="s">
        <v>2067</v>
      </c>
      <c r="C1960" t="s">
        <v>89</v>
      </c>
    </row>
    <row r="1961" spans="1:3" x14ac:dyDescent="0.2">
      <c r="A1961" t="str">
        <f>"06968"</f>
        <v>06968</v>
      </c>
      <c r="B1961" t="s">
        <v>2068</v>
      </c>
      <c r="C1961" t="s">
        <v>163</v>
      </c>
    </row>
    <row r="1962" spans="1:3" x14ac:dyDescent="0.2">
      <c r="A1962" t="str">
        <f>"06969"</f>
        <v>06969</v>
      </c>
      <c r="B1962" t="s">
        <v>123</v>
      </c>
      <c r="C1962" t="s">
        <v>120</v>
      </c>
    </row>
    <row r="1963" spans="1:3" x14ac:dyDescent="0.2">
      <c r="A1963" t="str">
        <f>"06978"</f>
        <v>06978</v>
      </c>
      <c r="B1963" t="s">
        <v>2069</v>
      </c>
      <c r="C1963" t="s">
        <v>25</v>
      </c>
    </row>
    <row r="1964" spans="1:3" x14ac:dyDescent="0.2">
      <c r="A1964" t="str">
        <f>"06979"</f>
        <v>06979</v>
      </c>
      <c r="B1964" t="s">
        <v>70</v>
      </c>
      <c r="C1964" t="s">
        <v>68</v>
      </c>
    </row>
    <row r="1965" spans="1:3" x14ac:dyDescent="0.2">
      <c r="A1965" t="str">
        <f>"06980"</f>
        <v>06980</v>
      </c>
      <c r="B1965" t="s">
        <v>892</v>
      </c>
      <c r="C1965" t="s">
        <v>68</v>
      </c>
    </row>
    <row r="1966" spans="1:3" x14ac:dyDescent="0.2">
      <c r="A1966" t="str">
        <f>"06989"</f>
        <v>06989</v>
      </c>
      <c r="B1966" t="s">
        <v>893</v>
      </c>
      <c r="C1966" t="s">
        <v>163</v>
      </c>
    </row>
    <row r="1967" spans="1:3" x14ac:dyDescent="0.2">
      <c r="A1967" t="str">
        <f>"06990"</f>
        <v>06990</v>
      </c>
      <c r="B1967" t="s">
        <v>2070</v>
      </c>
      <c r="C1967" t="s">
        <v>25</v>
      </c>
    </row>
    <row r="1968" spans="1:3" x14ac:dyDescent="0.2">
      <c r="A1968" t="str">
        <f>"06993"</f>
        <v>06993</v>
      </c>
      <c r="B1968" t="s">
        <v>122</v>
      </c>
      <c r="C1968" t="s">
        <v>63</v>
      </c>
    </row>
    <row r="1969" spans="1:3" x14ac:dyDescent="0.2">
      <c r="A1969" t="str">
        <f>"06996"</f>
        <v>06996</v>
      </c>
      <c r="B1969" t="s">
        <v>35</v>
      </c>
      <c r="C1969" t="s">
        <v>25</v>
      </c>
    </row>
    <row r="1970" spans="1:3" x14ac:dyDescent="0.2">
      <c r="A1970" t="str">
        <f>"06998"</f>
        <v>06998</v>
      </c>
      <c r="B1970" t="s">
        <v>2071</v>
      </c>
      <c r="C1970" t="s">
        <v>25</v>
      </c>
    </row>
    <row r="1971" spans="1:3" x14ac:dyDescent="0.2">
      <c r="A1971" t="str">
        <f>"06999"</f>
        <v>06999</v>
      </c>
      <c r="B1971" t="s">
        <v>2072</v>
      </c>
      <c r="C1971" t="s">
        <v>163</v>
      </c>
    </row>
    <row r="1972" spans="1:3" x14ac:dyDescent="0.2">
      <c r="A1972" t="str">
        <f>"07489"</f>
        <v>07489</v>
      </c>
      <c r="B1972" t="s">
        <v>2073</v>
      </c>
      <c r="C1972" t="s">
        <v>127</v>
      </c>
    </row>
    <row r="1973" spans="1:3" x14ac:dyDescent="0.2">
      <c r="A1973" t="str">
        <f>"07618"</f>
        <v>07618</v>
      </c>
      <c r="B1973" t="s">
        <v>2074</v>
      </c>
      <c r="C1973" t="s">
        <v>217</v>
      </c>
    </row>
    <row r="1974" spans="1:3" x14ac:dyDescent="0.2">
      <c r="A1974" t="str">
        <f>"07630"</f>
        <v>07630</v>
      </c>
      <c r="B1974" t="s">
        <v>2075</v>
      </c>
      <c r="C1974" t="s">
        <v>25</v>
      </c>
    </row>
    <row r="1975" spans="1:3" x14ac:dyDescent="0.2">
      <c r="A1975" t="str">
        <f>"07666"</f>
        <v>07666</v>
      </c>
      <c r="B1975" t="s">
        <v>2076</v>
      </c>
      <c r="C1975" t="s">
        <v>25</v>
      </c>
    </row>
    <row r="1976" spans="1:3" x14ac:dyDescent="0.2">
      <c r="A1976" t="str">
        <f>"07688"</f>
        <v>07688</v>
      </c>
      <c r="B1976" t="s">
        <v>2077</v>
      </c>
      <c r="C1976" t="s">
        <v>233</v>
      </c>
    </row>
    <row r="1977" spans="1:3" x14ac:dyDescent="0.2">
      <c r="A1977" t="str">
        <f>"08007"</f>
        <v>08007</v>
      </c>
      <c r="B1977" t="s">
        <v>2078</v>
      </c>
      <c r="C1977" t="s">
        <v>208</v>
      </c>
    </row>
    <row r="1978" spans="1:3" x14ac:dyDescent="0.2">
      <c r="A1978" t="str">
        <f>"08017"</f>
        <v>08017</v>
      </c>
      <c r="B1978" t="s">
        <v>139</v>
      </c>
      <c r="C1978" t="s">
        <v>137</v>
      </c>
    </row>
    <row r="1979" spans="1:3" x14ac:dyDescent="0.2">
      <c r="A1979" t="str">
        <f>"08021"</f>
        <v>08021</v>
      </c>
      <c r="B1979" t="s">
        <v>2079</v>
      </c>
      <c r="C1979" t="s">
        <v>171</v>
      </c>
    </row>
    <row r="1980" spans="1:3" x14ac:dyDescent="0.2">
      <c r="A1980" t="str">
        <f>"08023"</f>
        <v>08023</v>
      </c>
      <c r="B1980" t="s">
        <v>2080</v>
      </c>
      <c r="C1980" t="s">
        <v>162</v>
      </c>
    </row>
    <row r="1981" spans="1:3" x14ac:dyDescent="0.2">
      <c r="A1981" t="str">
        <f>"08026"</f>
        <v>08026</v>
      </c>
      <c r="B1981" t="s">
        <v>2081</v>
      </c>
      <c r="C1981" t="s">
        <v>112</v>
      </c>
    </row>
    <row r="1982" spans="1:3" x14ac:dyDescent="0.2">
      <c r="A1982" t="str">
        <f>"08029"</f>
        <v>08029</v>
      </c>
      <c r="B1982" t="s">
        <v>2082</v>
      </c>
      <c r="C1982" t="s">
        <v>171</v>
      </c>
    </row>
    <row r="1983" spans="1:3" x14ac:dyDescent="0.2">
      <c r="A1983" t="str">
        <f>"08030"</f>
        <v>08030</v>
      </c>
      <c r="B1983" t="s">
        <v>172</v>
      </c>
      <c r="C1983" t="s">
        <v>171</v>
      </c>
    </row>
    <row r="1984" spans="1:3" x14ac:dyDescent="0.2">
      <c r="A1984" t="str">
        <f>"08031"</f>
        <v>08031</v>
      </c>
      <c r="B1984" t="s">
        <v>2083</v>
      </c>
      <c r="C1984" t="s">
        <v>89</v>
      </c>
    </row>
    <row r="1985" spans="1:3" x14ac:dyDescent="0.2">
      <c r="A1985" t="str">
        <f>"08037"</f>
        <v>08037</v>
      </c>
      <c r="B1985" t="s">
        <v>2084</v>
      </c>
      <c r="C1985" t="s">
        <v>911</v>
      </c>
    </row>
    <row r="1986" spans="1:3" x14ac:dyDescent="0.2">
      <c r="A1986" t="str">
        <f>"08040"</f>
        <v>08040</v>
      </c>
      <c r="B1986" t="s">
        <v>2085</v>
      </c>
      <c r="C1986" t="s">
        <v>162</v>
      </c>
    </row>
    <row r="1987" spans="1:3" x14ac:dyDescent="0.2">
      <c r="A1987" t="str">
        <f>"08041"</f>
        <v>08041</v>
      </c>
      <c r="B1987" t="s">
        <v>2086</v>
      </c>
      <c r="C1987" t="s">
        <v>112</v>
      </c>
    </row>
    <row r="1988" spans="1:3" x14ac:dyDescent="0.2">
      <c r="A1988" t="str">
        <f>"08049"</f>
        <v>08049</v>
      </c>
      <c r="B1988" t="s">
        <v>2087</v>
      </c>
      <c r="C1988" t="s">
        <v>25</v>
      </c>
    </row>
    <row r="1989" spans="1:3" x14ac:dyDescent="0.2">
      <c r="A1989" t="str">
        <f>"08050"</f>
        <v>08050</v>
      </c>
      <c r="B1989" t="s">
        <v>2088</v>
      </c>
      <c r="C1989" t="s">
        <v>215</v>
      </c>
    </row>
    <row r="1990" spans="1:3" x14ac:dyDescent="0.2">
      <c r="A1990" t="str">
        <f>"08057"</f>
        <v>08057</v>
      </c>
      <c r="B1990" t="s">
        <v>2089</v>
      </c>
      <c r="C1990" t="s">
        <v>171</v>
      </c>
    </row>
    <row r="1991" spans="1:3" x14ac:dyDescent="0.2">
      <c r="A1991" t="str">
        <f>"08062"</f>
        <v>08062</v>
      </c>
      <c r="B1991" t="s">
        <v>2090</v>
      </c>
      <c r="C1991" t="s">
        <v>137</v>
      </c>
    </row>
    <row r="1992" spans="1:3" x14ac:dyDescent="0.2">
      <c r="A1992" t="str">
        <f>"08066"</f>
        <v>08066</v>
      </c>
      <c r="B1992" t="s">
        <v>2091</v>
      </c>
      <c r="C1992" t="s">
        <v>154</v>
      </c>
    </row>
    <row r="1993" spans="1:3" x14ac:dyDescent="0.2">
      <c r="A1993" t="str">
        <f>"08070"</f>
        <v>08070</v>
      </c>
      <c r="B1993" t="s">
        <v>2092</v>
      </c>
      <c r="C1993" t="s">
        <v>233</v>
      </c>
    </row>
    <row r="1994" spans="1:3" x14ac:dyDescent="0.2">
      <c r="A1994" t="str">
        <f>"08073"</f>
        <v>08073</v>
      </c>
      <c r="B1994" t="s">
        <v>2093</v>
      </c>
      <c r="C1994" t="s">
        <v>233</v>
      </c>
    </row>
    <row r="1995" spans="1:3" x14ac:dyDescent="0.2">
      <c r="A1995" t="str">
        <f>"08080"</f>
        <v>08080</v>
      </c>
      <c r="B1995" t="s">
        <v>2094</v>
      </c>
      <c r="C1995" t="s">
        <v>233</v>
      </c>
    </row>
    <row r="1996" spans="1:3" x14ac:dyDescent="0.2">
      <c r="A1996" t="str">
        <f>"08087"</f>
        <v>08087</v>
      </c>
      <c r="B1996" t="s">
        <v>2095</v>
      </c>
      <c r="C1996" t="s">
        <v>171</v>
      </c>
    </row>
    <row r="1997" spans="1:3" x14ac:dyDescent="0.2">
      <c r="A1997" t="str">
        <f>"08093"</f>
        <v>08093</v>
      </c>
      <c r="B1997" t="s">
        <v>2096</v>
      </c>
      <c r="C1997" t="s">
        <v>97</v>
      </c>
    </row>
    <row r="1998" spans="1:3" x14ac:dyDescent="0.2">
      <c r="A1998" t="str">
        <f>"08095"</f>
        <v>08095</v>
      </c>
      <c r="B1998" t="s">
        <v>2097</v>
      </c>
      <c r="C1998" t="s">
        <v>134</v>
      </c>
    </row>
    <row r="1999" spans="1:3" x14ac:dyDescent="0.2">
      <c r="A1999" t="str">
        <f>"08100"</f>
        <v>08100</v>
      </c>
      <c r="B1999" t="s">
        <v>2098</v>
      </c>
      <c r="C1999" t="s">
        <v>137</v>
      </c>
    </row>
    <row r="2000" spans="1:3" x14ac:dyDescent="0.2">
      <c r="A2000" t="str">
        <f>"08107"</f>
        <v>08107</v>
      </c>
      <c r="B2000" t="s">
        <v>2099</v>
      </c>
      <c r="C2000" t="s">
        <v>112</v>
      </c>
    </row>
    <row r="2001" spans="1:3" x14ac:dyDescent="0.2">
      <c r="A2001" t="str">
        <f>"08113"</f>
        <v>08113</v>
      </c>
      <c r="B2001" t="s">
        <v>2100</v>
      </c>
      <c r="C2001" t="s">
        <v>233</v>
      </c>
    </row>
    <row r="2002" spans="1:3" x14ac:dyDescent="0.2">
      <c r="A2002" t="str">
        <f>"08115"</f>
        <v>08115</v>
      </c>
      <c r="B2002" t="s">
        <v>2101</v>
      </c>
      <c r="C2002" t="s">
        <v>233</v>
      </c>
    </row>
    <row r="2003" spans="1:3" x14ac:dyDescent="0.2">
      <c r="A2003" t="str">
        <f>"08120"</f>
        <v>08120</v>
      </c>
      <c r="B2003" t="s">
        <v>2102</v>
      </c>
      <c r="C2003" t="s">
        <v>101</v>
      </c>
    </row>
    <row r="2004" spans="1:3" x14ac:dyDescent="0.2">
      <c r="A2004" t="str">
        <f>"08125"</f>
        <v>08125</v>
      </c>
      <c r="B2004" t="s">
        <v>2103</v>
      </c>
      <c r="C2004" t="s">
        <v>162</v>
      </c>
    </row>
    <row r="2005" spans="1:3" x14ac:dyDescent="0.2">
      <c r="A2005" t="str">
        <f>"08137"</f>
        <v>08137</v>
      </c>
      <c r="B2005" t="s">
        <v>2104</v>
      </c>
      <c r="C2005" t="s">
        <v>233</v>
      </c>
    </row>
    <row r="2006" spans="1:3" x14ac:dyDescent="0.2">
      <c r="A2006" t="str">
        <f>"08146"</f>
        <v>08146</v>
      </c>
      <c r="B2006" t="s">
        <v>2105</v>
      </c>
      <c r="C2006" t="s">
        <v>68</v>
      </c>
    </row>
    <row r="2007" spans="1:3" x14ac:dyDescent="0.2">
      <c r="A2007" t="str">
        <f>"08147"</f>
        <v>08147</v>
      </c>
      <c r="B2007" t="s">
        <v>2106</v>
      </c>
      <c r="C2007" t="s">
        <v>120</v>
      </c>
    </row>
    <row r="2008" spans="1:3" x14ac:dyDescent="0.2">
      <c r="A2008" t="str">
        <f>"08148"</f>
        <v>08148</v>
      </c>
      <c r="B2008" t="s">
        <v>894</v>
      </c>
      <c r="C2008" t="s">
        <v>137</v>
      </c>
    </row>
    <row r="2009" spans="1:3" x14ac:dyDescent="0.2">
      <c r="A2009" t="str">
        <f>"08156"</f>
        <v>08156</v>
      </c>
      <c r="B2009" t="s">
        <v>2107</v>
      </c>
      <c r="C2009" t="s">
        <v>217</v>
      </c>
    </row>
    <row r="2010" spans="1:3" x14ac:dyDescent="0.2">
      <c r="A2010" t="str">
        <f>"08158"</f>
        <v>08158</v>
      </c>
      <c r="B2010" t="s">
        <v>2108</v>
      </c>
      <c r="C2010" t="s">
        <v>911</v>
      </c>
    </row>
    <row r="2011" spans="1:3" x14ac:dyDescent="0.2">
      <c r="A2011" t="str">
        <f>"08160"</f>
        <v>08160</v>
      </c>
      <c r="B2011" t="s">
        <v>2109</v>
      </c>
      <c r="C2011" t="s">
        <v>89</v>
      </c>
    </row>
    <row r="2012" spans="1:3" x14ac:dyDescent="0.2">
      <c r="A2012" t="str">
        <f>"08162"</f>
        <v>08162</v>
      </c>
      <c r="B2012" t="s">
        <v>2110</v>
      </c>
      <c r="C2012" t="s">
        <v>272</v>
      </c>
    </row>
    <row r="2013" spans="1:3" x14ac:dyDescent="0.2">
      <c r="A2013" t="str">
        <f>"08186"</f>
        <v>08186</v>
      </c>
      <c r="B2013" t="s">
        <v>2111</v>
      </c>
      <c r="C2013" t="s">
        <v>120</v>
      </c>
    </row>
    <row r="2014" spans="1:3" x14ac:dyDescent="0.2">
      <c r="A2014" t="str">
        <f>"08188"</f>
        <v>08188</v>
      </c>
      <c r="B2014" t="s">
        <v>2112</v>
      </c>
      <c r="C2014" t="s">
        <v>162</v>
      </c>
    </row>
    <row r="2015" spans="1:3" x14ac:dyDescent="0.2">
      <c r="A2015" t="str">
        <f>"08189"</f>
        <v>08189</v>
      </c>
      <c r="B2015" t="s">
        <v>2113</v>
      </c>
      <c r="C2015" t="s">
        <v>257</v>
      </c>
    </row>
    <row r="2016" spans="1:3" x14ac:dyDescent="0.2">
      <c r="A2016" t="str">
        <f>"08195"</f>
        <v>08195</v>
      </c>
      <c r="B2016" t="s">
        <v>2114</v>
      </c>
      <c r="C2016" t="s">
        <v>89</v>
      </c>
    </row>
    <row r="2017" spans="1:3" x14ac:dyDescent="0.2">
      <c r="A2017" t="str">
        <f>"08198"</f>
        <v>08198</v>
      </c>
      <c r="B2017" t="s">
        <v>138</v>
      </c>
      <c r="C2017" t="s">
        <v>137</v>
      </c>
    </row>
    <row r="2018" spans="1:3" x14ac:dyDescent="0.2">
      <c r="A2018" t="str">
        <f>"08218"</f>
        <v>08218</v>
      </c>
      <c r="B2018" t="s">
        <v>2115</v>
      </c>
      <c r="C2018" t="s">
        <v>233</v>
      </c>
    </row>
    <row r="2019" spans="1:3" x14ac:dyDescent="0.2">
      <c r="A2019" t="str">
        <f>"08220"</f>
        <v>08220</v>
      </c>
      <c r="B2019" t="s">
        <v>2116</v>
      </c>
      <c r="C2019" t="s">
        <v>97</v>
      </c>
    </row>
    <row r="2020" spans="1:3" x14ac:dyDescent="0.2">
      <c r="A2020" t="str">
        <f>"08221"</f>
        <v>08221</v>
      </c>
      <c r="B2020" t="s">
        <v>2117</v>
      </c>
      <c r="C2020" t="s">
        <v>171</v>
      </c>
    </row>
    <row r="2021" spans="1:3" x14ac:dyDescent="0.2">
      <c r="A2021" t="str">
        <f>"08223"</f>
        <v>08223</v>
      </c>
      <c r="B2021" t="s">
        <v>2118</v>
      </c>
      <c r="C2021" t="s">
        <v>911</v>
      </c>
    </row>
    <row r="2022" spans="1:3" x14ac:dyDescent="0.2">
      <c r="A2022" t="str">
        <f>"08225"</f>
        <v>08225</v>
      </c>
      <c r="B2022" t="s">
        <v>2119</v>
      </c>
      <c r="C2022" t="s">
        <v>25</v>
      </c>
    </row>
    <row r="2023" spans="1:3" x14ac:dyDescent="0.2">
      <c r="A2023" t="str">
        <f>"08227"</f>
        <v>08227</v>
      </c>
      <c r="B2023" t="s">
        <v>2120</v>
      </c>
      <c r="C2023" t="s">
        <v>154</v>
      </c>
    </row>
    <row r="2024" spans="1:3" x14ac:dyDescent="0.2">
      <c r="A2024" t="str">
        <f>"08229"</f>
        <v>08229</v>
      </c>
      <c r="B2024" t="s">
        <v>2121</v>
      </c>
      <c r="C2024" t="s">
        <v>137</v>
      </c>
    </row>
    <row r="2025" spans="1:3" x14ac:dyDescent="0.2">
      <c r="A2025" t="str">
        <f>"08237"</f>
        <v>08237</v>
      </c>
      <c r="B2025" t="s">
        <v>2122</v>
      </c>
      <c r="C2025" t="s">
        <v>101</v>
      </c>
    </row>
    <row r="2026" spans="1:3" x14ac:dyDescent="0.2">
      <c r="A2026" t="str">
        <f>"08239"</f>
        <v>08239</v>
      </c>
      <c r="B2026" t="s">
        <v>2123</v>
      </c>
      <c r="C2026" t="s">
        <v>171</v>
      </c>
    </row>
    <row r="2027" spans="1:3" x14ac:dyDescent="0.2">
      <c r="A2027" t="str">
        <f>"08246"</f>
        <v>08246</v>
      </c>
      <c r="B2027" t="s">
        <v>2124</v>
      </c>
      <c r="C2027" t="s">
        <v>233</v>
      </c>
    </row>
    <row r="2028" spans="1:3" x14ac:dyDescent="0.2">
      <c r="A2028" t="str">
        <f>"08247"</f>
        <v>08247</v>
      </c>
      <c r="B2028" t="s">
        <v>2125</v>
      </c>
      <c r="C2028" t="s">
        <v>25</v>
      </c>
    </row>
    <row r="2029" spans="1:3" x14ac:dyDescent="0.2">
      <c r="A2029" t="str">
        <f>"08269"</f>
        <v>08269</v>
      </c>
      <c r="B2029" t="s">
        <v>2126</v>
      </c>
      <c r="C2029" t="s">
        <v>112</v>
      </c>
    </row>
    <row r="2030" spans="1:3" x14ac:dyDescent="0.2">
      <c r="A2030" t="str">
        <f>"08270"</f>
        <v>08270</v>
      </c>
      <c r="B2030" t="s">
        <v>2127</v>
      </c>
      <c r="C2030" t="s">
        <v>277</v>
      </c>
    </row>
    <row r="2031" spans="1:3" x14ac:dyDescent="0.2">
      <c r="A2031" t="str">
        <f>"08279"</f>
        <v>08279</v>
      </c>
      <c r="B2031" t="s">
        <v>2128</v>
      </c>
      <c r="C2031" t="s">
        <v>171</v>
      </c>
    </row>
    <row r="2032" spans="1:3" x14ac:dyDescent="0.2">
      <c r="A2032" t="str">
        <f>"08281"</f>
        <v>08281</v>
      </c>
      <c r="B2032" t="s">
        <v>2129</v>
      </c>
      <c r="C2032" t="s">
        <v>63</v>
      </c>
    </row>
    <row r="2033" spans="1:3" x14ac:dyDescent="0.2">
      <c r="A2033" t="str">
        <f>"08283"</f>
        <v>08283</v>
      </c>
      <c r="B2033" t="s">
        <v>2130</v>
      </c>
      <c r="C2033" t="s">
        <v>89</v>
      </c>
    </row>
    <row r="2034" spans="1:3" x14ac:dyDescent="0.2">
      <c r="A2034" t="str">
        <f>"08292"</f>
        <v>08292</v>
      </c>
      <c r="B2034" t="s">
        <v>2131</v>
      </c>
      <c r="C2034" t="s">
        <v>220</v>
      </c>
    </row>
    <row r="2035" spans="1:3" x14ac:dyDescent="0.2">
      <c r="A2035" t="str">
        <f>"08299"</f>
        <v>08299</v>
      </c>
      <c r="B2035" t="s">
        <v>895</v>
      </c>
      <c r="C2035" t="s">
        <v>272</v>
      </c>
    </row>
    <row r="2036" spans="1:3" x14ac:dyDescent="0.2">
      <c r="A2036" t="str">
        <f>"08305"</f>
        <v>08305</v>
      </c>
      <c r="B2036" t="s">
        <v>896</v>
      </c>
      <c r="C2036" t="s">
        <v>162</v>
      </c>
    </row>
    <row r="2037" spans="1:3" x14ac:dyDescent="0.2">
      <c r="A2037" t="str">
        <f>"08310"</f>
        <v>08310</v>
      </c>
      <c r="B2037" t="s">
        <v>2132</v>
      </c>
      <c r="C2037" t="s">
        <v>217</v>
      </c>
    </row>
    <row r="2038" spans="1:3" x14ac:dyDescent="0.2">
      <c r="A2038" t="str">
        <f>"08316"</f>
        <v>08316</v>
      </c>
      <c r="B2038" t="s">
        <v>2133</v>
      </c>
      <c r="C2038" t="s">
        <v>162</v>
      </c>
    </row>
    <row r="2039" spans="1:3" x14ac:dyDescent="0.2">
      <c r="A2039" t="str">
        <f>"08321"</f>
        <v>08321</v>
      </c>
      <c r="B2039" t="s">
        <v>2134</v>
      </c>
      <c r="C2039" t="s">
        <v>162</v>
      </c>
    </row>
    <row r="2040" spans="1:3" x14ac:dyDescent="0.2">
      <c r="A2040" t="str">
        <f>"08326"</f>
        <v>08326</v>
      </c>
      <c r="B2040" t="s">
        <v>2135</v>
      </c>
      <c r="C2040" t="s">
        <v>233</v>
      </c>
    </row>
    <row r="2041" spans="1:3" x14ac:dyDescent="0.2">
      <c r="A2041" t="str">
        <f>"08348"</f>
        <v>08348</v>
      </c>
      <c r="B2041" t="s">
        <v>2136</v>
      </c>
      <c r="C2041" t="s">
        <v>217</v>
      </c>
    </row>
    <row r="2042" spans="1:3" x14ac:dyDescent="0.2">
      <c r="A2042" t="str">
        <f>"08349"</f>
        <v>08349</v>
      </c>
      <c r="B2042" t="s">
        <v>2137</v>
      </c>
      <c r="C2042" t="s">
        <v>162</v>
      </c>
    </row>
    <row r="2043" spans="1:3" x14ac:dyDescent="0.2">
      <c r="A2043" t="str">
        <f>"08350"</f>
        <v>08350</v>
      </c>
      <c r="B2043" t="s">
        <v>2138</v>
      </c>
      <c r="C2043" t="s">
        <v>171</v>
      </c>
    </row>
    <row r="2044" spans="1:3" x14ac:dyDescent="0.2">
      <c r="A2044" t="str">
        <f>"08360"</f>
        <v>08360</v>
      </c>
      <c r="B2044" t="s">
        <v>2139</v>
      </c>
      <c r="C2044" t="s">
        <v>162</v>
      </c>
    </row>
    <row r="2045" spans="1:3" x14ac:dyDescent="0.2">
      <c r="A2045" t="str">
        <f>"08365"</f>
        <v>08365</v>
      </c>
      <c r="B2045" t="s">
        <v>2140</v>
      </c>
      <c r="C2045" t="s">
        <v>171</v>
      </c>
    </row>
    <row r="2046" spans="1:3" x14ac:dyDescent="0.2">
      <c r="A2046" t="str">
        <f>"08368"</f>
        <v>08368</v>
      </c>
      <c r="B2046" t="s">
        <v>2141</v>
      </c>
      <c r="C2046" t="s">
        <v>97</v>
      </c>
    </row>
    <row r="2047" spans="1:3" x14ac:dyDescent="0.2">
      <c r="A2047" t="str">
        <f>"08370"</f>
        <v>08370</v>
      </c>
      <c r="B2047" t="s">
        <v>2142</v>
      </c>
      <c r="C2047" t="s">
        <v>120</v>
      </c>
    </row>
    <row r="2048" spans="1:3" x14ac:dyDescent="0.2">
      <c r="A2048" t="str">
        <f>"08371"</f>
        <v>08371</v>
      </c>
      <c r="B2048" t="s">
        <v>2143</v>
      </c>
      <c r="C2048" t="s">
        <v>101</v>
      </c>
    </row>
    <row r="2049" spans="1:3" x14ac:dyDescent="0.2">
      <c r="A2049" t="str">
        <f>"08372"</f>
        <v>08372</v>
      </c>
      <c r="B2049" t="s">
        <v>2144</v>
      </c>
      <c r="C2049" t="s">
        <v>911</v>
      </c>
    </row>
    <row r="2050" spans="1:3" x14ac:dyDescent="0.2">
      <c r="A2050" t="str">
        <f>"08375"</f>
        <v>08375</v>
      </c>
      <c r="B2050" t="s">
        <v>2145</v>
      </c>
      <c r="C2050" t="s">
        <v>233</v>
      </c>
    </row>
    <row r="2051" spans="1:3" x14ac:dyDescent="0.2">
      <c r="A2051" t="str">
        <f>"08379"</f>
        <v>08379</v>
      </c>
      <c r="B2051" t="s">
        <v>2146</v>
      </c>
      <c r="C2051" t="s">
        <v>154</v>
      </c>
    </row>
    <row r="2052" spans="1:3" x14ac:dyDescent="0.2">
      <c r="A2052" t="str">
        <f>"08391"</f>
        <v>08391</v>
      </c>
      <c r="B2052" t="s">
        <v>897</v>
      </c>
      <c r="C2052" t="s">
        <v>233</v>
      </c>
    </row>
    <row r="2053" spans="1:3" x14ac:dyDescent="0.2">
      <c r="A2053" t="str">
        <f>"08395"</f>
        <v>08395</v>
      </c>
      <c r="B2053" t="s">
        <v>2147</v>
      </c>
      <c r="C2053" t="s">
        <v>120</v>
      </c>
    </row>
    <row r="2054" spans="1:3" x14ac:dyDescent="0.2">
      <c r="A2054" t="str">
        <f>"08400"</f>
        <v>08400</v>
      </c>
      <c r="B2054" t="s">
        <v>2148</v>
      </c>
      <c r="C2054" t="s">
        <v>101</v>
      </c>
    </row>
    <row r="2055" spans="1:3" x14ac:dyDescent="0.2">
      <c r="A2055" t="str">
        <f>"08403"</f>
        <v>08403</v>
      </c>
      <c r="B2055" t="s">
        <v>2149</v>
      </c>
      <c r="C2055" t="s">
        <v>97</v>
      </c>
    </row>
    <row r="2056" spans="1:3" x14ac:dyDescent="0.2">
      <c r="A2056" t="str">
        <f>"08411"</f>
        <v>08411</v>
      </c>
      <c r="B2056" t="s">
        <v>2150</v>
      </c>
      <c r="C2056" t="s">
        <v>162</v>
      </c>
    </row>
    <row r="2057" spans="1:3" x14ac:dyDescent="0.2">
      <c r="A2057" t="str">
        <f>"08418"</f>
        <v>08418</v>
      </c>
      <c r="B2057" t="s">
        <v>2151</v>
      </c>
      <c r="C2057" t="s">
        <v>89</v>
      </c>
    </row>
    <row r="2058" spans="1:3" x14ac:dyDescent="0.2">
      <c r="A2058" t="str">
        <f>"08426"</f>
        <v>08426</v>
      </c>
      <c r="B2058" t="s">
        <v>2152</v>
      </c>
      <c r="C2058" t="s">
        <v>163</v>
      </c>
    </row>
    <row r="2059" spans="1:3" x14ac:dyDescent="0.2">
      <c r="A2059" t="str">
        <f>"08427"</f>
        <v>08427</v>
      </c>
      <c r="B2059" t="s">
        <v>2153</v>
      </c>
      <c r="C2059" t="s">
        <v>162</v>
      </c>
    </row>
    <row r="2060" spans="1:3" x14ac:dyDescent="0.2">
      <c r="A2060" t="str">
        <f>"08431"</f>
        <v>08431</v>
      </c>
      <c r="B2060" t="s">
        <v>2154</v>
      </c>
      <c r="C2060" t="s">
        <v>101</v>
      </c>
    </row>
    <row r="2061" spans="1:3" x14ac:dyDescent="0.2">
      <c r="A2061" t="str">
        <f>"08436"</f>
        <v>08436</v>
      </c>
      <c r="B2061" t="s">
        <v>2155</v>
      </c>
      <c r="C2061" t="s">
        <v>911</v>
      </c>
    </row>
    <row r="2062" spans="1:3" x14ac:dyDescent="0.2">
      <c r="A2062" t="str">
        <f>"08439"</f>
        <v>08439</v>
      </c>
      <c r="B2062" t="s">
        <v>2156</v>
      </c>
      <c r="C2062" t="s">
        <v>171</v>
      </c>
    </row>
    <row r="2063" spans="1:3" x14ac:dyDescent="0.2">
      <c r="A2063" t="str">
        <f>"08448"</f>
        <v>08448</v>
      </c>
      <c r="B2063" t="s">
        <v>2157</v>
      </c>
      <c r="C2063" t="s">
        <v>217</v>
      </c>
    </row>
    <row r="2064" spans="1:3" x14ac:dyDescent="0.2">
      <c r="A2064" t="str">
        <f>"08450"</f>
        <v>08450</v>
      </c>
      <c r="B2064" t="s">
        <v>2158</v>
      </c>
      <c r="C2064" t="s">
        <v>217</v>
      </c>
    </row>
    <row r="2065" spans="1:3" x14ac:dyDescent="0.2">
      <c r="A2065" t="str">
        <f>"08460"</f>
        <v>08460</v>
      </c>
      <c r="B2065" t="s">
        <v>2159</v>
      </c>
      <c r="C2065" t="s">
        <v>162</v>
      </c>
    </row>
    <row r="2066" spans="1:3" x14ac:dyDescent="0.2">
      <c r="A2066" t="str">
        <f>"08480"</f>
        <v>08480</v>
      </c>
      <c r="B2066" t="s">
        <v>2160</v>
      </c>
      <c r="C2066" t="s">
        <v>112</v>
      </c>
    </row>
    <row r="2067" spans="1:3" x14ac:dyDescent="0.2">
      <c r="A2067" t="str">
        <f>"08481"</f>
        <v>08481</v>
      </c>
      <c r="B2067" t="s">
        <v>2161</v>
      </c>
      <c r="C2067" t="s">
        <v>217</v>
      </c>
    </row>
    <row r="2068" spans="1:3" x14ac:dyDescent="0.2">
      <c r="A2068" t="str">
        <f>"08483"</f>
        <v>08483</v>
      </c>
      <c r="B2068" t="s">
        <v>2162</v>
      </c>
      <c r="C2068" t="s">
        <v>89</v>
      </c>
    </row>
    <row r="2069" spans="1:3" x14ac:dyDescent="0.2">
      <c r="A2069" t="str">
        <f>"08490"</f>
        <v>08490</v>
      </c>
      <c r="B2069" t="s">
        <v>2163</v>
      </c>
      <c r="C2069" t="s">
        <v>233</v>
      </c>
    </row>
    <row r="2070" spans="1:3" x14ac:dyDescent="0.2">
      <c r="A2070" t="str">
        <f>"08491"</f>
        <v>08491</v>
      </c>
      <c r="B2070" t="s">
        <v>2164</v>
      </c>
      <c r="C2070" t="s">
        <v>68</v>
      </c>
    </row>
    <row r="2071" spans="1:3" x14ac:dyDescent="0.2">
      <c r="A2071" t="str">
        <f>"08495"</f>
        <v>08495</v>
      </c>
      <c r="B2071" t="s">
        <v>2165</v>
      </c>
      <c r="C2071" t="s">
        <v>101</v>
      </c>
    </row>
    <row r="2072" spans="1:3" x14ac:dyDescent="0.2">
      <c r="A2072" t="str">
        <f>"08501"</f>
        <v>08501</v>
      </c>
      <c r="B2072" t="s">
        <v>2166</v>
      </c>
      <c r="C2072" t="s">
        <v>162</v>
      </c>
    </row>
    <row r="2073" spans="1:3" x14ac:dyDescent="0.2">
      <c r="A2073" t="str">
        <f>"08502"</f>
        <v>08502</v>
      </c>
      <c r="B2073" t="s">
        <v>2167</v>
      </c>
      <c r="C2073" t="s">
        <v>220</v>
      </c>
    </row>
    <row r="2074" spans="1:3" x14ac:dyDescent="0.2">
      <c r="A2074" t="str">
        <f>"08507"</f>
        <v>08507</v>
      </c>
      <c r="B2074" t="s">
        <v>2168</v>
      </c>
      <c r="C2074" t="s">
        <v>112</v>
      </c>
    </row>
    <row r="2075" spans="1:3" x14ac:dyDescent="0.2">
      <c r="A2075" t="str">
        <f>"08509"</f>
        <v>08509</v>
      </c>
      <c r="B2075" t="s">
        <v>2169</v>
      </c>
      <c r="C2075" t="s">
        <v>68</v>
      </c>
    </row>
    <row r="2076" spans="1:3" x14ac:dyDescent="0.2">
      <c r="A2076" t="str">
        <f>"08512"</f>
        <v>08512</v>
      </c>
      <c r="B2076" t="s">
        <v>2170</v>
      </c>
      <c r="C2076" t="s">
        <v>63</v>
      </c>
    </row>
    <row r="2077" spans="1:3" x14ac:dyDescent="0.2">
      <c r="A2077" t="str">
        <f>"08516"</f>
        <v>08516</v>
      </c>
      <c r="B2077" t="s">
        <v>2171</v>
      </c>
      <c r="C2077" t="s">
        <v>162</v>
      </c>
    </row>
    <row r="2078" spans="1:3" x14ac:dyDescent="0.2">
      <c r="A2078" t="str">
        <f>"08521"</f>
        <v>08521</v>
      </c>
      <c r="B2078" t="s">
        <v>2172</v>
      </c>
      <c r="C2078" t="s">
        <v>112</v>
      </c>
    </row>
    <row r="2079" spans="1:3" x14ac:dyDescent="0.2">
      <c r="A2079" t="str">
        <f>"08525"</f>
        <v>08525</v>
      </c>
      <c r="B2079" t="s">
        <v>2173</v>
      </c>
      <c r="C2079" t="s">
        <v>217</v>
      </c>
    </row>
    <row r="2080" spans="1:3" x14ac:dyDescent="0.2">
      <c r="A2080" t="str">
        <f>"08527"</f>
        <v>08527</v>
      </c>
      <c r="B2080" t="s">
        <v>2174</v>
      </c>
      <c r="C2080" t="s">
        <v>101</v>
      </c>
    </row>
    <row r="2081" spans="1:3" x14ac:dyDescent="0.2">
      <c r="A2081" t="str">
        <f>"08529"</f>
        <v>08529</v>
      </c>
      <c r="B2081" t="s">
        <v>2175</v>
      </c>
      <c r="C2081" t="s">
        <v>135</v>
      </c>
    </row>
    <row r="2082" spans="1:3" x14ac:dyDescent="0.2">
      <c r="A2082" t="str">
        <f>"08535"</f>
        <v>08535</v>
      </c>
      <c r="B2082" t="s">
        <v>2176</v>
      </c>
      <c r="C2082" t="s">
        <v>162</v>
      </c>
    </row>
    <row r="2083" spans="1:3" x14ac:dyDescent="0.2">
      <c r="A2083" t="str">
        <f>"08540"</f>
        <v>08540</v>
      </c>
      <c r="B2083" t="s">
        <v>170</v>
      </c>
      <c r="C2083" t="s">
        <v>171</v>
      </c>
    </row>
    <row r="2084" spans="1:3" x14ac:dyDescent="0.2">
      <c r="A2084" t="str">
        <f>"08601"</f>
        <v>08601</v>
      </c>
      <c r="B2084" t="s">
        <v>2177</v>
      </c>
      <c r="C2084" t="s">
        <v>162</v>
      </c>
    </row>
    <row r="2085" spans="1:3" x14ac:dyDescent="0.2">
      <c r="A2085" t="str">
        <f>"08603"</f>
        <v>08603</v>
      </c>
      <c r="B2085" t="s">
        <v>2178</v>
      </c>
      <c r="C2085" t="s">
        <v>911</v>
      </c>
    </row>
    <row r="2086" spans="1:3" x14ac:dyDescent="0.2">
      <c r="A2086" t="str">
        <f>"08610"</f>
        <v>08610</v>
      </c>
      <c r="B2086" t="s">
        <v>2179</v>
      </c>
      <c r="C2086" t="s">
        <v>162</v>
      </c>
    </row>
    <row r="2087" spans="1:3" x14ac:dyDescent="0.2">
      <c r="A2087" t="str">
        <f>"08611"</f>
        <v>08611</v>
      </c>
      <c r="B2087" t="s">
        <v>898</v>
      </c>
      <c r="C2087" t="s">
        <v>137</v>
      </c>
    </row>
    <row r="2088" spans="1:3" x14ac:dyDescent="0.2">
      <c r="A2088" t="str">
        <f>"08622"</f>
        <v>08622</v>
      </c>
      <c r="B2088" t="s">
        <v>2180</v>
      </c>
      <c r="C2088" t="s">
        <v>25</v>
      </c>
    </row>
    <row r="2089" spans="1:3" x14ac:dyDescent="0.2">
      <c r="A2089" t="str">
        <f>"08635"</f>
        <v>08635</v>
      </c>
      <c r="B2089" t="s">
        <v>899</v>
      </c>
      <c r="C2089" t="s">
        <v>137</v>
      </c>
    </row>
    <row r="2090" spans="1:3" x14ac:dyDescent="0.2">
      <c r="A2090" t="str">
        <f>"08637"</f>
        <v>08637</v>
      </c>
      <c r="B2090" t="s">
        <v>2181</v>
      </c>
      <c r="C2090" t="s">
        <v>135</v>
      </c>
    </row>
    <row r="2091" spans="1:3" x14ac:dyDescent="0.2">
      <c r="A2091" t="str">
        <f>"08645"</f>
        <v>08645</v>
      </c>
      <c r="B2091" t="s">
        <v>2182</v>
      </c>
      <c r="C2091" t="s">
        <v>137</v>
      </c>
    </row>
    <row r="2092" spans="1:3" x14ac:dyDescent="0.2">
      <c r="A2092" t="str">
        <f>"08646"</f>
        <v>08646</v>
      </c>
      <c r="B2092" t="s">
        <v>2183</v>
      </c>
      <c r="C2092" t="s">
        <v>233</v>
      </c>
    </row>
    <row r="2093" spans="1:3" x14ac:dyDescent="0.2">
      <c r="A2093" t="str">
        <f>"08657"</f>
        <v>08657</v>
      </c>
      <c r="B2093" t="s">
        <v>2184</v>
      </c>
      <c r="C2093" t="s">
        <v>171</v>
      </c>
    </row>
    <row r="2094" spans="1:3" x14ac:dyDescent="0.2">
      <c r="A2094" t="str">
        <f>"08668"</f>
        <v>08668</v>
      </c>
      <c r="B2094" t="s">
        <v>2185</v>
      </c>
      <c r="C2094" t="s">
        <v>101</v>
      </c>
    </row>
    <row r="2095" spans="1:3" x14ac:dyDescent="0.2">
      <c r="A2095" t="str">
        <f>"09600"</f>
        <v>09600</v>
      </c>
      <c r="B2095" t="s">
        <v>2186</v>
      </c>
      <c r="C2095" t="s">
        <v>137</v>
      </c>
    </row>
    <row r="2096" spans="1:3" x14ac:dyDescent="0.2">
      <c r="A2096" t="str">
        <f>"09606"</f>
        <v>09606</v>
      </c>
      <c r="B2096" t="s">
        <v>900</v>
      </c>
      <c r="C2096" t="s">
        <v>25</v>
      </c>
    </row>
    <row r="2097" spans="1:3" x14ac:dyDescent="0.2">
      <c r="A2097" t="str">
        <f>"09609"</f>
        <v>09609</v>
      </c>
      <c r="B2097" t="s">
        <v>901</v>
      </c>
      <c r="C2097" t="s">
        <v>233</v>
      </c>
    </row>
    <row r="2098" spans="1:3" x14ac:dyDescent="0.2">
      <c r="A2098" t="str">
        <f>"09611"</f>
        <v>09611</v>
      </c>
      <c r="B2098" t="s">
        <v>2187</v>
      </c>
      <c r="C2098" t="s">
        <v>154</v>
      </c>
    </row>
    <row r="2099" spans="1:3" x14ac:dyDescent="0.2">
      <c r="A2099" t="str">
        <f>"09616"</f>
        <v>09616</v>
      </c>
      <c r="B2099" t="s">
        <v>2188</v>
      </c>
      <c r="C2099" t="s">
        <v>89</v>
      </c>
    </row>
    <row r="2100" spans="1:3" x14ac:dyDescent="0.2">
      <c r="A2100" t="str">
        <f>"09618"</f>
        <v>09618</v>
      </c>
      <c r="B2100" t="s">
        <v>83</v>
      </c>
      <c r="C2100" t="s">
        <v>81</v>
      </c>
    </row>
    <row r="2101" spans="1:3" x14ac:dyDescent="0.2">
      <c r="A2101" t="str">
        <f>"09626"</f>
        <v>09626</v>
      </c>
      <c r="B2101" t="s">
        <v>676</v>
      </c>
      <c r="C2101" t="s">
        <v>97</v>
      </c>
    </row>
    <row r="2102" spans="1:3" x14ac:dyDescent="0.2">
      <c r="A2102" t="str">
        <f>"09633"</f>
        <v>09633</v>
      </c>
      <c r="B2102" t="s">
        <v>677</v>
      </c>
      <c r="C2102" t="s">
        <v>68</v>
      </c>
    </row>
    <row r="2103" spans="1:3" x14ac:dyDescent="0.2">
      <c r="A2103" t="str">
        <f>"09636"</f>
        <v>09636</v>
      </c>
      <c r="B2103" t="s">
        <v>678</v>
      </c>
      <c r="C2103" t="s">
        <v>137</v>
      </c>
    </row>
    <row r="2104" spans="1:3" x14ac:dyDescent="0.2">
      <c r="A2104" t="str">
        <f>"09638"</f>
        <v>09638</v>
      </c>
      <c r="B2104" t="s">
        <v>2189</v>
      </c>
      <c r="C2104" t="s">
        <v>233</v>
      </c>
    </row>
    <row r="2105" spans="1:3" x14ac:dyDescent="0.2">
      <c r="A2105" t="str">
        <f>"09639"</f>
        <v>09639</v>
      </c>
      <c r="B2105" t="s">
        <v>2190</v>
      </c>
      <c r="C2105" t="s">
        <v>162</v>
      </c>
    </row>
    <row r="2106" spans="1:3" x14ac:dyDescent="0.2">
      <c r="A2106" t="str">
        <f>"09658"</f>
        <v>09658</v>
      </c>
      <c r="B2106" t="s">
        <v>679</v>
      </c>
      <c r="C2106" t="s">
        <v>101</v>
      </c>
    </row>
    <row r="2107" spans="1:3" x14ac:dyDescent="0.2">
      <c r="A2107" t="str">
        <f>"09660"</f>
        <v>09660</v>
      </c>
      <c r="B2107" t="s">
        <v>680</v>
      </c>
      <c r="C2107" t="s">
        <v>137</v>
      </c>
    </row>
    <row r="2108" spans="1:3" x14ac:dyDescent="0.2">
      <c r="A2108" t="str">
        <f>"09663"</f>
        <v>09663</v>
      </c>
      <c r="B2108" t="s">
        <v>2191</v>
      </c>
      <c r="C2108" t="s">
        <v>233</v>
      </c>
    </row>
    <row r="2109" spans="1:3" x14ac:dyDescent="0.2">
      <c r="A2109" t="str">
        <f>"09668"</f>
        <v>09668</v>
      </c>
      <c r="B2109" t="s">
        <v>681</v>
      </c>
      <c r="C2109" t="s">
        <v>196</v>
      </c>
    </row>
    <row r="2110" spans="1:3" x14ac:dyDescent="0.2">
      <c r="A2110" t="str">
        <f>"09669"</f>
        <v>09669</v>
      </c>
      <c r="B2110" t="s">
        <v>682</v>
      </c>
      <c r="C2110" t="s">
        <v>137</v>
      </c>
    </row>
    <row r="2111" spans="1:3" x14ac:dyDescent="0.2">
      <c r="A2111" t="str">
        <f>"09676"</f>
        <v>09676</v>
      </c>
      <c r="B2111" t="s">
        <v>683</v>
      </c>
      <c r="C2111" t="s">
        <v>66</v>
      </c>
    </row>
    <row r="2112" spans="1:3" x14ac:dyDescent="0.2">
      <c r="A2112" t="str">
        <f>"09677"</f>
        <v>09677</v>
      </c>
      <c r="B2112" t="s">
        <v>2192</v>
      </c>
      <c r="C2112" t="s">
        <v>196</v>
      </c>
    </row>
    <row r="2113" spans="1:3" x14ac:dyDescent="0.2">
      <c r="A2113" t="str">
        <f>"09678"</f>
        <v>09678</v>
      </c>
      <c r="B2113" t="s">
        <v>902</v>
      </c>
      <c r="C2113" t="s">
        <v>137</v>
      </c>
    </row>
    <row r="2114" spans="1:3" x14ac:dyDescent="0.2">
      <c r="A2114" t="str">
        <f>"09680"</f>
        <v>09680</v>
      </c>
      <c r="B2114" t="s">
        <v>2193</v>
      </c>
      <c r="C2114" t="s">
        <v>101</v>
      </c>
    </row>
    <row r="2115" spans="1:3" x14ac:dyDescent="0.2">
      <c r="A2115" t="str">
        <f>"09686"</f>
        <v>09686</v>
      </c>
      <c r="B2115" t="s">
        <v>2194</v>
      </c>
      <c r="C2115" t="s">
        <v>911</v>
      </c>
    </row>
    <row r="2116" spans="1:3" x14ac:dyDescent="0.2">
      <c r="A2116" t="str">
        <f>"09688"</f>
        <v>09688</v>
      </c>
      <c r="B2116" t="s">
        <v>684</v>
      </c>
      <c r="C2116" t="s">
        <v>25</v>
      </c>
    </row>
    <row r="2117" spans="1:3" x14ac:dyDescent="0.2">
      <c r="A2117" t="str">
        <f>"09689"</f>
        <v>09689</v>
      </c>
      <c r="B2117" t="s">
        <v>2195</v>
      </c>
      <c r="C2117" t="s">
        <v>277</v>
      </c>
    </row>
    <row r="2118" spans="1:3" x14ac:dyDescent="0.2">
      <c r="A2118" t="str">
        <f>"09690"</f>
        <v>09690</v>
      </c>
      <c r="B2118" t="s">
        <v>685</v>
      </c>
      <c r="C2118" t="s">
        <v>81</v>
      </c>
    </row>
    <row r="2119" spans="1:3" x14ac:dyDescent="0.2">
      <c r="A2119" t="str">
        <f>"09696"</f>
        <v>09696</v>
      </c>
      <c r="B2119" t="s">
        <v>686</v>
      </c>
      <c r="C2119" t="s">
        <v>264</v>
      </c>
    </row>
    <row r="2120" spans="1:3" x14ac:dyDescent="0.2">
      <c r="A2120" t="str">
        <f>"09698"</f>
        <v>09698</v>
      </c>
      <c r="B2120" t="s">
        <v>687</v>
      </c>
      <c r="C2120" t="s">
        <v>137</v>
      </c>
    </row>
    <row r="2121" spans="1:3" x14ac:dyDescent="0.2">
      <c r="A2121" t="str">
        <f>"09699"</f>
        <v>09699</v>
      </c>
      <c r="B2121" t="s">
        <v>688</v>
      </c>
      <c r="C2121" t="s">
        <v>220</v>
      </c>
    </row>
    <row r="2122" spans="1:3" x14ac:dyDescent="0.2">
      <c r="A2122" t="str">
        <f>"09857"</f>
        <v>09857</v>
      </c>
      <c r="B2122" t="s">
        <v>2196</v>
      </c>
      <c r="C2122" t="s">
        <v>97</v>
      </c>
    </row>
    <row r="2123" spans="1:3" x14ac:dyDescent="0.2">
      <c r="A2123" t="str">
        <f>"09858"</f>
        <v>09858</v>
      </c>
      <c r="B2123" t="s">
        <v>689</v>
      </c>
      <c r="C2123" t="s">
        <v>68</v>
      </c>
    </row>
    <row r="2124" spans="1:3" x14ac:dyDescent="0.2">
      <c r="A2124" t="str">
        <f>"09860"</f>
        <v>09860</v>
      </c>
      <c r="B2124" t="s">
        <v>690</v>
      </c>
      <c r="C2124" t="s">
        <v>911</v>
      </c>
    </row>
    <row r="2125" spans="1:3" x14ac:dyDescent="0.2">
      <c r="A2125" t="str">
        <f>"09863"</f>
        <v>09863</v>
      </c>
      <c r="B2125" t="s">
        <v>691</v>
      </c>
      <c r="C2125" t="s">
        <v>127</v>
      </c>
    </row>
    <row r="2126" spans="1:3" x14ac:dyDescent="0.2">
      <c r="A2126" t="str">
        <f>"09866"</f>
        <v>09866</v>
      </c>
      <c r="B2126" t="s">
        <v>692</v>
      </c>
      <c r="C2126" t="s">
        <v>127</v>
      </c>
    </row>
    <row r="2127" spans="1:3" x14ac:dyDescent="0.2">
      <c r="A2127" t="str">
        <f>"09868"</f>
        <v>09868</v>
      </c>
      <c r="B2127" t="s">
        <v>2197</v>
      </c>
      <c r="C2127" t="s">
        <v>127</v>
      </c>
    </row>
    <row r="2128" spans="1:3" x14ac:dyDescent="0.2">
      <c r="A2128" t="str">
        <f>"09869"</f>
        <v>09869</v>
      </c>
      <c r="B2128" t="s">
        <v>2198</v>
      </c>
      <c r="C2128" t="s">
        <v>101</v>
      </c>
    </row>
    <row r="2129" spans="1:3" x14ac:dyDescent="0.2">
      <c r="A2129" t="str">
        <f>"09876"</f>
        <v>09876</v>
      </c>
      <c r="B2129" t="s">
        <v>2199</v>
      </c>
      <c r="C2129" t="s">
        <v>68</v>
      </c>
    </row>
    <row r="2130" spans="1:3" x14ac:dyDescent="0.2">
      <c r="A2130" t="str">
        <f>"09877"</f>
        <v>09877</v>
      </c>
      <c r="B2130" t="s">
        <v>693</v>
      </c>
      <c r="C2130" t="s">
        <v>911</v>
      </c>
    </row>
    <row r="2131" spans="1:3" x14ac:dyDescent="0.2">
      <c r="A2131" t="str">
        <f>"09878"</f>
        <v>09878</v>
      </c>
      <c r="B2131" t="s">
        <v>694</v>
      </c>
      <c r="C2131" t="s">
        <v>81</v>
      </c>
    </row>
    <row r="2132" spans="1:3" x14ac:dyDescent="0.2">
      <c r="A2132" t="str">
        <f>"09879"</f>
        <v>09879</v>
      </c>
      <c r="B2132" t="s">
        <v>695</v>
      </c>
      <c r="C2132" t="s">
        <v>257</v>
      </c>
    </row>
    <row r="2133" spans="1:3" x14ac:dyDescent="0.2">
      <c r="A2133" t="str">
        <f>"09880"</f>
        <v>09880</v>
      </c>
      <c r="B2133" t="s">
        <v>696</v>
      </c>
      <c r="C2133" t="s">
        <v>137</v>
      </c>
    </row>
    <row r="2134" spans="1:3" x14ac:dyDescent="0.2">
      <c r="A2134" t="str">
        <f>"09881"</f>
        <v>09881</v>
      </c>
      <c r="B2134" t="s">
        <v>2200</v>
      </c>
      <c r="C2134" t="s">
        <v>154</v>
      </c>
    </row>
    <row r="2135" spans="1:3" x14ac:dyDescent="0.2">
      <c r="A2135" t="str">
        <f>"09882"</f>
        <v>09882</v>
      </c>
      <c r="B2135" t="s">
        <v>2201</v>
      </c>
      <c r="C2135" t="s">
        <v>233</v>
      </c>
    </row>
    <row r="2136" spans="1:3" x14ac:dyDescent="0.2">
      <c r="A2136" t="str">
        <f>"09885"</f>
        <v>09885</v>
      </c>
      <c r="B2136" t="s">
        <v>697</v>
      </c>
      <c r="C2136" t="s">
        <v>25</v>
      </c>
    </row>
    <row r="2137" spans="1:3" x14ac:dyDescent="0.2">
      <c r="A2137" t="str">
        <f>"09886"</f>
        <v>09886</v>
      </c>
      <c r="B2137" t="s">
        <v>2202</v>
      </c>
      <c r="C2137" t="s">
        <v>25</v>
      </c>
    </row>
    <row r="2138" spans="1:3" x14ac:dyDescent="0.2">
      <c r="A2138" t="str">
        <f>"09887"</f>
        <v>09887</v>
      </c>
      <c r="B2138" t="s">
        <v>903</v>
      </c>
      <c r="C2138" t="s">
        <v>25</v>
      </c>
    </row>
    <row r="2139" spans="1:3" x14ac:dyDescent="0.2">
      <c r="A2139" t="str">
        <f>"09888"</f>
        <v>09888</v>
      </c>
      <c r="B2139" t="s">
        <v>698</v>
      </c>
      <c r="C2139" t="s">
        <v>97</v>
      </c>
    </row>
    <row r="2140" spans="1:3" x14ac:dyDescent="0.2">
      <c r="A2140" t="str">
        <f>"09889"</f>
        <v>09889</v>
      </c>
      <c r="B2140" t="s">
        <v>2203</v>
      </c>
      <c r="C2140" t="s">
        <v>196</v>
      </c>
    </row>
    <row r="2141" spans="1:3" x14ac:dyDescent="0.2">
      <c r="A2141" t="str">
        <f>"09890"</f>
        <v>09890</v>
      </c>
      <c r="B2141" t="s">
        <v>904</v>
      </c>
      <c r="C2141" t="s">
        <v>137</v>
      </c>
    </row>
    <row r="2142" spans="1:3" x14ac:dyDescent="0.2">
      <c r="A2142" t="str">
        <f>"09893"</f>
        <v>09893</v>
      </c>
      <c r="B2142" t="s">
        <v>2204</v>
      </c>
      <c r="C2142" t="s">
        <v>162</v>
      </c>
    </row>
    <row r="2143" spans="1:3" x14ac:dyDescent="0.2">
      <c r="A2143" t="str">
        <f>"09896"</f>
        <v>09896</v>
      </c>
      <c r="B2143" t="s">
        <v>699</v>
      </c>
      <c r="C2143" t="s">
        <v>81</v>
      </c>
    </row>
    <row r="2144" spans="1:3" x14ac:dyDescent="0.2">
      <c r="A2144" t="str">
        <f>"09898"</f>
        <v>09898</v>
      </c>
      <c r="B2144" t="s">
        <v>700</v>
      </c>
      <c r="C2144" t="s">
        <v>97</v>
      </c>
    </row>
    <row r="2145" spans="1:3" x14ac:dyDescent="0.2">
      <c r="A2145" t="str">
        <f>"09899"</f>
        <v>09899</v>
      </c>
      <c r="B2145" t="s">
        <v>701</v>
      </c>
      <c r="C2145" t="s">
        <v>97</v>
      </c>
    </row>
    <row r="2146" spans="1:3" x14ac:dyDescent="0.2">
      <c r="A2146" t="str">
        <f>"09900"</f>
        <v>09900</v>
      </c>
      <c r="B2146" t="s">
        <v>905</v>
      </c>
      <c r="C2146" t="s">
        <v>162</v>
      </c>
    </row>
    <row r="2147" spans="1:3" x14ac:dyDescent="0.2">
      <c r="A2147" t="str">
        <f>"09901"</f>
        <v>09901</v>
      </c>
      <c r="B2147" t="s">
        <v>702</v>
      </c>
      <c r="C2147" t="s">
        <v>89</v>
      </c>
    </row>
    <row r="2148" spans="1:3" x14ac:dyDescent="0.2">
      <c r="A2148" t="str">
        <f>"09903"</f>
        <v>09903</v>
      </c>
      <c r="B2148" t="s">
        <v>2205</v>
      </c>
      <c r="C2148" t="s">
        <v>135</v>
      </c>
    </row>
    <row r="2149" spans="1:3" x14ac:dyDescent="0.2">
      <c r="A2149" t="str">
        <f>"09906"</f>
        <v>09906</v>
      </c>
      <c r="B2149" t="s">
        <v>2206</v>
      </c>
      <c r="C2149" t="s">
        <v>911</v>
      </c>
    </row>
    <row r="2150" spans="1:3" x14ac:dyDescent="0.2">
      <c r="A2150" t="str">
        <f>"09908"</f>
        <v>09908</v>
      </c>
      <c r="B2150" t="s">
        <v>2207</v>
      </c>
      <c r="C2150" t="s">
        <v>208</v>
      </c>
    </row>
    <row r="2151" spans="1:3" x14ac:dyDescent="0.2">
      <c r="A2151" t="str">
        <f>"09909"</f>
        <v>09909</v>
      </c>
      <c r="B2151" t="s">
        <v>2208</v>
      </c>
      <c r="C2151" t="s">
        <v>163</v>
      </c>
    </row>
    <row r="2152" spans="1:3" x14ac:dyDescent="0.2">
      <c r="A2152" t="str">
        <f>"09911"</f>
        <v>09911</v>
      </c>
      <c r="B2152" t="s">
        <v>703</v>
      </c>
      <c r="C2152" t="s">
        <v>97</v>
      </c>
    </row>
    <row r="2153" spans="1:3" x14ac:dyDescent="0.2">
      <c r="A2153" t="str">
        <f>"09913"</f>
        <v>09913</v>
      </c>
      <c r="B2153" t="s">
        <v>2209</v>
      </c>
      <c r="C2153" t="s">
        <v>162</v>
      </c>
    </row>
    <row r="2154" spans="1:3" x14ac:dyDescent="0.2">
      <c r="A2154" t="str">
        <f>"09916"</f>
        <v>09916</v>
      </c>
      <c r="B2154" t="s">
        <v>2210</v>
      </c>
      <c r="C2154" t="s">
        <v>163</v>
      </c>
    </row>
    <row r="2155" spans="1:3" x14ac:dyDescent="0.2">
      <c r="A2155" t="str">
        <f>"09918"</f>
        <v>09918</v>
      </c>
      <c r="B2155" t="s">
        <v>2211</v>
      </c>
      <c r="C2155" t="s">
        <v>120</v>
      </c>
    </row>
    <row r="2156" spans="1:3" x14ac:dyDescent="0.2">
      <c r="A2156" t="str">
        <f>"09919"</f>
        <v>09919</v>
      </c>
      <c r="B2156" t="s">
        <v>2212</v>
      </c>
      <c r="C2156" t="s">
        <v>97</v>
      </c>
    </row>
    <row r="2157" spans="1:3" x14ac:dyDescent="0.2">
      <c r="A2157" t="str">
        <f>"09922"</f>
        <v>09922</v>
      </c>
      <c r="B2157" t="s">
        <v>704</v>
      </c>
      <c r="C2157" t="s">
        <v>101</v>
      </c>
    </row>
    <row r="2158" spans="1:3" x14ac:dyDescent="0.2">
      <c r="A2158" t="str">
        <f>"09923"</f>
        <v>09923</v>
      </c>
      <c r="B2158" t="s">
        <v>705</v>
      </c>
      <c r="C2158" t="s">
        <v>171</v>
      </c>
    </row>
    <row r="2159" spans="1:3" x14ac:dyDescent="0.2">
      <c r="A2159" t="str">
        <f>"09926"</f>
        <v>09926</v>
      </c>
      <c r="B2159" t="s">
        <v>706</v>
      </c>
      <c r="C2159" t="s">
        <v>25</v>
      </c>
    </row>
    <row r="2160" spans="1:3" x14ac:dyDescent="0.2">
      <c r="A2160" t="str">
        <f>"09927"</f>
        <v>09927</v>
      </c>
      <c r="B2160" t="s">
        <v>906</v>
      </c>
      <c r="C2160" t="s">
        <v>127</v>
      </c>
    </row>
    <row r="2161" spans="1:3" x14ac:dyDescent="0.2">
      <c r="A2161" t="str">
        <f>"09928"</f>
        <v>09928</v>
      </c>
      <c r="B2161" t="s">
        <v>2213</v>
      </c>
      <c r="C2161" t="s">
        <v>163</v>
      </c>
    </row>
    <row r="2162" spans="1:3" x14ac:dyDescent="0.2">
      <c r="A2162" t="str">
        <f>"09929"</f>
        <v>09929</v>
      </c>
      <c r="B2162" t="s">
        <v>907</v>
      </c>
      <c r="C2162" t="s">
        <v>162</v>
      </c>
    </row>
    <row r="2163" spans="1:3" x14ac:dyDescent="0.2">
      <c r="A2163" t="str">
        <f>"09930"</f>
        <v>09930</v>
      </c>
      <c r="B2163" t="s">
        <v>707</v>
      </c>
      <c r="C2163" t="s">
        <v>233</v>
      </c>
    </row>
    <row r="2164" spans="1:3" x14ac:dyDescent="0.2">
      <c r="A2164" t="str">
        <f>"09933"</f>
        <v>09933</v>
      </c>
      <c r="B2164" t="s">
        <v>2214</v>
      </c>
      <c r="C2164" t="s">
        <v>257</v>
      </c>
    </row>
    <row r="2165" spans="1:3" x14ac:dyDescent="0.2">
      <c r="A2165" t="str">
        <f>"09936"</f>
        <v>09936</v>
      </c>
      <c r="B2165" t="s">
        <v>708</v>
      </c>
      <c r="C2165" t="s">
        <v>257</v>
      </c>
    </row>
    <row r="2166" spans="1:3" x14ac:dyDescent="0.2">
      <c r="A2166" t="str">
        <f>"09938"</f>
        <v>09938</v>
      </c>
      <c r="B2166" t="s">
        <v>2215</v>
      </c>
      <c r="C2166" t="s">
        <v>162</v>
      </c>
    </row>
    <row r="2167" spans="1:3" x14ac:dyDescent="0.2">
      <c r="A2167" t="str">
        <f>"09939"</f>
        <v>09939</v>
      </c>
      <c r="B2167" t="s">
        <v>709</v>
      </c>
      <c r="C2167" t="s">
        <v>25</v>
      </c>
    </row>
    <row r="2168" spans="1:3" x14ac:dyDescent="0.2">
      <c r="A2168" t="str">
        <f>"09955"</f>
        <v>09955</v>
      </c>
      <c r="B2168" t="s">
        <v>2216</v>
      </c>
      <c r="C2168" t="s">
        <v>911</v>
      </c>
    </row>
    <row r="2169" spans="1:3" x14ac:dyDescent="0.2">
      <c r="A2169" t="str">
        <f>"09959"</f>
        <v>09959</v>
      </c>
      <c r="B2169" t="s">
        <v>710</v>
      </c>
      <c r="C2169" t="s">
        <v>137</v>
      </c>
    </row>
    <row r="2170" spans="1:3" x14ac:dyDescent="0.2">
      <c r="A2170" t="str">
        <f>"09960"</f>
        <v>09960</v>
      </c>
      <c r="B2170" t="s">
        <v>2217</v>
      </c>
      <c r="C2170" t="s">
        <v>911</v>
      </c>
    </row>
    <row r="2171" spans="1:3" x14ac:dyDescent="0.2">
      <c r="A2171" t="str">
        <f>"09961"</f>
        <v>09961</v>
      </c>
      <c r="B2171" t="s">
        <v>711</v>
      </c>
      <c r="C2171" t="s">
        <v>101</v>
      </c>
    </row>
    <row r="2172" spans="1:3" x14ac:dyDescent="0.2">
      <c r="A2172" t="str">
        <f>"09963"</f>
        <v>09963</v>
      </c>
      <c r="B2172" t="s">
        <v>2218</v>
      </c>
      <c r="C2172" t="s">
        <v>154</v>
      </c>
    </row>
    <row r="2173" spans="1:3" x14ac:dyDescent="0.2">
      <c r="A2173" t="str">
        <f>"09966"</f>
        <v>09966</v>
      </c>
      <c r="B2173" t="s">
        <v>712</v>
      </c>
      <c r="C2173" t="s">
        <v>25</v>
      </c>
    </row>
    <row r="2174" spans="1:3" x14ac:dyDescent="0.2">
      <c r="A2174" t="str">
        <f>"09969"</f>
        <v>09969</v>
      </c>
      <c r="B2174" t="s">
        <v>713</v>
      </c>
      <c r="C2174" t="s">
        <v>25</v>
      </c>
    </row>
    <row r="2175" spans="1:3" x14ac:dyDescent="0.2">
      <c r="A2175" t="str">
        <f>"09973"</f>
        <v>09973</v>
      </c>
      <c r="B2175" t="s">
        <v>908</v>
      </c>
      <c r="C2175" t="s">
        <v>127</v>
      </c>
    </row>
    <row r="2176" spans="1:3" x14ac:dyDescent="0.2">
      <c r="A2176" t="str">
        <f>"09979"</f>
        <v>09979</v>
      </c>
      <c r="B2176" t="s">
        <v>714</v>
      </c>
      <c r="C2176" t="s">
        <v>163</v>
      </c>
    </row>
    <row r="2177" spans="1:3" x14ac:dyDescent="0.2">
      <c r="A2177" t="str">
        <f>"09980"</f>
        <v>09980</v>
      </c>
      <c r="B2177" t="s">
        <v>2219</v>
      </c>
      <c r="C2177" t="s">
        <v>68</v>
      </c>
    </row>
    <row r="2178" spans="1:3" x14ac:dyDescent="0.2">
      <c r="A2178" t="str">
        <f>"09981"</f>
        <v>09981</v>
      </c>
      <c r="B2178" t="s">
        <v>2220</v>
      </c>
      <c r="C2178" t="s">
        <v>233</v>
      </c>
    </row>
    <row r="2179" spans="1:3" x14ac:dyDescent="0.2">
      <c r="A2179" t="str">
        <f>"09983"</f>
        <v>09983</v>
      </c>
      <c r="B2179" t="s">
        <v>909</v>
      </c>
      <c r="C2179" t="s">
        <v>163</v>
      </c>
    </row>
    <row r="2180" spans="1:3" x14ac:dyDescent="0.2">
      <c r="A2180" t="str">
        <f>"09985"</f>
        <v>09985</v>
      </c>
      <c r="B2180" t="s">
        <v>715</v>
      </c>
      <c r="C2180" t="s">
        <v>68</v>
      </c>
    </row>
    <row r="2181" spans="1:3" x14ac:dyDescent="0.2">
      <c r="A2181" t="str">
        <f>"09986"</f>
        <v>09986</v>
      </c>
      <c r="B2181" t="s">
        <v>2221</v>
      </c>
      <c r="C2181" t="s">
        <v>89</v>
      </c>
    </row>
    <row r="2182" spans="1:3" x14ac:dyDescent="0.2">
      <c r="A2182" t="str">
        <f>"09987"</f>
        <v>09987</v>
      </c>
      <c r="B2182" t="s">
        <v>716</v>
      </c>
      <c r="C2182" t="s">
        <v>101</v>
      </c>
    </row>
    <row r="2183" spans="1:3" x14ac:dyDescent="0.2">
      <c r="A2183" t="str">
        <f>"09988"</f>
        <v>09988</v>
      </c>
      <c r="B2183" t="s">
        <v>717</v>
      </c>
      <c r="C2183" t="s">
        <v>81</v>
      </c>
    </row>
    <row r="2184" spans="1:3" x14ac:dyDescent="0.2">
      <c r="A2184" t="str">
        <f>"09989"</f>
        <v>09989</v>
      </c>
      <c r="B2184" t="s">
        <v>718</v>
      </c>
      <c r="C2184" t="s">
        <v>25</v>
      </c>
    </row>
    <row r="2185" spans="1:3" x14ac:dyDescent="0.2">
      <c r="A2185" t="str">
        <f>"09990"</f>
        <v>09990</v>
      </c>
      <c r="B2185" t="s">
        <v>2222</v>
      </c>
      <c r="C2185" t="s">
        <v>137</v>
      </c>
    </row>
    <row r="2186" spans="1:3" x14ac:dyDescent="0.2">
      <c r="A2186" t="str">
        <f>"09991"</f>
        <v>09991</v>
      </c>
      <c r="B2186" t="s">
        <v>2223</v>
      </c>
      <c r="C2186" t="s">
        <v>81</v>
      </c>
    </row>
    <row r="2187" spans="1:3" x14ac:dyDescent="0.2">
      <c r="A2187" t="str">
        <f>"09992"</f>
        <v>09992</v>
      </c>
      <c r="B2187" t="s">
        <v>719</v>
      </c>
      <c r="C2187" t="s">
        <v>120</v>
      </c>
    </row>
    <row r="2188" spans="1:3" x14ac:dyDescent="0.2">
      <c r="A2188" t="str">
        <f>"09993"</f>
        <v>09993</v>
      </c>
      <c r="B2188" t="s">
        <v>910</v>
      </c>
      <c r="C2188" t="s">
        <v>163</v>
      </c>
    </row>
    <row r="2189" spans="1:3" x14ac:dyDescent="0.2">
      <c r="A2189" t="str">
        <f>"09995"</f>
        <v>09995</v>
      </c>
      <c r="B2189" t="s">
        <v>720</v>
      </c>
      <c r="C2189" t="s">
        <v>25</v>
      </c>
    </row>
    <row r="2190" spans="1:3" x14ac:dyDescent="0.2">
      <c r="A2190" t="str">
        <f>"09996"</f>
        <v>09996</v>
      </c>
      <c r="B2190" t="s">
        <v>721</v>
      </c>
      <c r="C2190" t="s">
        <v>911</v>
      </c>
    </row>
    <row r="2191" spans="1:3" x14ac:dyDescent="0.2">
      <c r="A2191" t="str">
        <f>"09998"</f>
        <v>09998</v>
      </c>
      <c r="B2191" t="s">
        <v>2224</v>
      </c>
      <c r="C2191" t="s">
        <v>162</v>
      </c>
    </row>
    <row r="2192" spans="1:3" x14ac:dyDescent="0.2">
      <c r="A2192" t="str">
        <f>"09999"</f>
        <v>09999</v>
      </c>
      <c r="B2192" t="s">
        <v>722</v>
      </c>
      <c r="C2192" t="s">
        <v>137</v>
      </c>
    </row>
    <row r="2193" spans="1:3" x14ac:dyDescent="0.2">
      <c r="A2193" t="str">
        <f>"80016"</f>
        <v>80016</v>
      </c>
      <c r="B2193" t="s">
        <v>2225</v>
      </c>
      <c r="C2193" t="s">
        <v>163</v>
      </c>
    </row>
    <row r="2194" spans="1:3" x14ac:dyDescent="0.2">
      <c r="A2194" t="str">
        <f>"80020"</f>
        <v>80020</v>
      </c>
      <c r="B2194" t="s">
        <v>2226</v>
      </c>
      <c r="C2194" t="s">
        <v>137</v>
      </c>
    </row>
    <row r="2195" spans="1:3" x14ac:dyDescent="0.2">
      <c r="A2195" t="str">
        <f>"80175"</f>
        <v>80175</v>
      </c>
      <c r="B2195" t="s">
        <v>2227</v>
      </c>
      <c r="C2195" t="s">
        <v>127</v>
      </c>
    </row>
    <row r="2196" spans="1:3" x14ac:dyDescent="0.2">
      <c r="A2196" t="str">
        <f>"80291"</f>
        <v>80291</v>
      </c>
      <c r="B2196" t="s">
        <v>2228</v>
      </c>
      <c r="C2196" t="s">
        <v>68</v>
      </c>
    </row>
    <row r="2197" spans="1:3" x14ac:dyDescent="0.2">
      <c r="A2197" t="str">
        <f>"80388"</f>
        <v>80388</v>
      </c>
      <c r="B2197" t="s">
        <v>2229</v>
      </c>
      <c r="C2197" t="s">
        <v>171</v>
      </c>
    </row>
    <row r="2198" spans="1:3" x14ac:dyDescent="0.2">
      <c r="A2198" t="str">
        <f>"80700"</f>
        <v>80700</v>
      </c>
      <c r="B2198" t="s">
        <v>2230</v>
      </c>
      <c r="C2198" t="s">
        <v>137</v>
      </c>
    </row>
    <row r="2199" spans="1:3" x14ac:dyDescent="0.2">
      <c r="A2199" t="str">
        <f>"80737"</f>
        <v>80737</v>
      </c>
      <c r="B2199" t="s">
        <v>2231</v>
      </c>
      <c r="C2199" t="s">
        <v>220</v>
      </c>
    </row>
    <row r="2200" spans="1:3" x14ac:dyDescent="0.2">
      <c r="A2200" t="str">
        <f>"80883"</f>
        <v>80883</v>
      </c>
      <c r="B2200" t="s">
        <v>2232</v>
      </c>
      <c r="C2200" t="s">
        <v>277</v>
      </c>
    </row>
    <row r="2201" spans="1:3" x14ac:dyDescent="0.2">
      <c r="A2201" t="str">
        <f>"80941"</f>
        <v>80941</v>
      </c>
      <c r="B2201" t="s">
        <v>2233</v>
      </c>
      <c r="C2201" t="s">
        <v>215</v>
      </c>
    </row>
    <row r="2202" spans="1:3" x14ac:dyDescent="0.2">
      <c r="A2202" t="str">
        <f>"80992"</f>
        <v>80992</v>
      </c>
      <c r="B2202" t="s">
        <v>2234</v>
      </c>
      <c r="C2202" t="s">
        <v>154</v>
      </c>
    </row>
    <row r="2203" spans="1:3" x14ac:dyDescent="0.2">
      <c r="A2203" t="str">
        <f>"81024"</f>
        <v>81024</v>
      </c>
      <c r="B2203" t="s">
        <v>2235</v>
      </c>
      <c r="C2203" t="s">
        <v>97</v>
      </c>
    </row>
    <row r="2204" spans="1:3" x14ac:dyDescent="0.2">
      <c r="A2204" t="str">
        <f>"81211"</f>
        <v>81211</v>
      </c>
      <c r="B2204" t="s">
        <v>2236</v>
      </c>
      <c r="C2204" t="s">
        <v>127</v>
      </c>
    </row>
    <row r="2205" spans="1:3" x14ac:dyDescent="0.2">
      <c r="A2205" t="str">
        <f>"81299"</f>
        <v>81299</v>
      </c>
      <c r="B2205" t="s">
        <v>2237</v>
      </c>
      <c r="C2205" t="s">
        <v>188</v>
      </c>
    </row>
    <row r="2206" spans="1:3" x14ac:dyDescent="0.2">
      <c r="A2206" t="str">
        <f>"81810"</f>
        <v>81810</v>
      </c>
      <c r="B2206" t="s">
        <v>2238</v>
      </c>
      <c r="C2206" t="s">
        <v>154</v>
      </c>
    </row>
    <row r="2207" spans="1:3" x14ac:dyDescent="0.2">
      <c r="A2207" t="str">
        <f>"82020"</f>
        <v>82020</v>
      </c>
      <c r="B2207" t="s">
        <v>2239</v>
      </c>
      <c r="C2207" t="s">
        <v>112</v>
      </c>
    </row>
    <row r="2208" spans="1:3" x14ac:dyDescent="0.2">
      <c r="A2208" t="str">
        <f>"82318"</f>
        <v>82318</v>
      </c>
      <c r="B2208" t="s">
        <v>2240</v>
      </c>
      <c r="C2208" t="s">
        <v>188</v>
      </c>
    </row>
    <row r="2209" spans="1:3" x14ac:dyDescent="0.2">
      <c r="A2209" t="str">
        <f>"82331"</f>
        <v>82331</v>
      </c>
      <c r="B2209" t="s">
        <v>2241</v>
      </c>
      <c r="C2209" t="s">
        <v>112</v>
      </c>
    </row>
    <row r="2210" spans="1:3" x14ac:dyDescent="0.2">
      <c r="A2210" t="str">
        <f>"82333"</f>
        <v>82333</v>
      </c>
      <c r="B2210" t="s">
        <v>2242</v>
      </c>
      <c r="C2210" t="s">
        <v>127</v>
      </c>
    </row>
    <row r="2211" spans="1:3" x14ac:dyDescent="0.2">
      <c r="A2211" t="str">
        <f>"82388"</f>
        <v>82388</v>
      </c>
      <c r="B2211" t="s">
        <v>2243</v>
      </c>
      <c r="C2211" t="s">
        <v>196</v>
      </c>
    </row>
    <row r="2212" spans="1:3" x14ac:dyDescent="0.2">
      <c r="A2212" t="str">
        <f>"83690"</f>
        <v>83690</v>
      </c>
      <c r="B2212" t="s">
        <v>2244</v>
      </c>
      <c r="C2212" t="s">
        <v>81</v>
      </c>
    </row>
    <row r="2213" spans="1:3" x14ac:dyDescent="0.2">
      <c r="A2213" t="str">
        <f>"86618"</f>
        <v>86618</v>
      </c>
      <c r="B2213" t="s">
        <v>2245</v>
      </c>
      <c r="C2213" t="s">
        <v>25</v>
      </c>
    </row>
    <row r="2214" spans="1:3" x14ac:dyDescent="0.2">
      <c r="A2214" t="str">
        <f>"89618"</f>
        <v>89618</v>
      </c>
      <c r="B2214" t="s">
        <v>2246</v>
      </c>
      <c r="C2214" t="s">
        <v>81</v>
      </c>
    </row>
    <row r="2215" spans="1:3" x14ac:dyDescent="0.2">
      <c r="A2215" t="str">
        <f>"89888"</f>
        <v>89888</v>
      </c>
      <c r="B2215" t="s">
        <v>2247</v>
      </c>
      <c r="C2215" t="s">
        <v>97</v>
      </c>
    </row>
    <row r="2216" spans="1:3" x14ac:dyDescent="0.2">
      <c r="A2216" t="str">
        <f>"89988"</f>
        <v>89988</v>
      </c>
      <c r="B2216" t="s">
        <v>2248</v>
      </c>
      <c r="C2216" t="s">
        <v>81</v>
      </c>
    </row>
  </sheetData>
  <sortState xmlns:xlrd2="http://schemas.microsoft.com/office/spreadsheetml/2017/richdata2" ref="A1:C464">
    <sortCondition ref="A1:A464"/>
  </sortState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港股主板更新20250618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Kerwin Liu</dc:creator>
  <cp:lastModifiedBy>Kerwin Liu</cp:lastModifiedBy>
  <dcterms:created xsi:type="dcterms:W3CDTF">2025-06-18T07:00:21Z</dcterms:created>
  <dcterms:modified xsi:type="dcterms:W3CDTF">2026-06-21T15:06:13Z</dcterms:modified>
</cp:coreProperties>
</file>