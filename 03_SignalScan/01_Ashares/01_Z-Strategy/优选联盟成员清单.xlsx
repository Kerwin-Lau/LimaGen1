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nt\01_SwProj\04_VectorBT\02_Lima\Lima_Gen1\03_BuySignalScan\02_ASharesPro\"/>
    </mc:Choice>
  </mc:AlternateContent>
  <xr:revisionPtr revIDLastSave="0" documentId="13_ncr:1_{6F689224-BA9C-4C6C-B5CC-DE296C15608C}" xr6:coauthVersionLast="47" xr6:coauthVersionMax="47" xr10:uidLastSave="{00000000-0000-0000-0000-000000000000}"/>
  <bookViews>
    <workbookView xWindow="-120" yWindow="-120" windowWidth="38640" windowHeight="21120" xr2:uid="{38998CBB-08AB-45AD-87E4-CE12D39D03C1}"/>
  </bookViews>
  <sheets>
    <sheet name="联盟成员清单20250623" sheetId="1" r:id="rId1"/>
  </sheets>
  <calcPr calcId="191029"/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</calcChain>
</file>

<file path=xl/sharedStrings.xml><?xml version="1.0" encoding="utf-8"?>
<sst xmlns="http://schemas.openxmlformats.org/spreadsheetml/2006/main" count="98" uniqueCount="98">
  <si>
    <t>代码</t>
  </si>
  <si>
    <t>名称(53)</t>
  </si>
  <si>
    <t>人福医药</t>
  </si>
  <si>
    <t>科大讯飞</t>
  </si>
  <si>
    <t>浪潮信息</t>
  </si>
  <si>
    <t>一品红</t>
  </si>
  <si>
    <t>海思科</t>
  </si>
  <si>
    <t>长电科技</t>
  </si>
  <si>
    <t>北方华创</t>
  </si>
  <si>
    <t>星宸科技</t>
  </si>
  <si>
    <t>兆易创新</t>
  </si>
  <si>
    <t>豪威集团</t>
  </si>
  <si>
    <t>古井贡酒</t>
  </si>
  <si>
    <t>山西汾酒</t>
  </si>
  <si>
    <t>中国宝安</t>
  </si>
  <si>
    <t>德赛电池</t>
  </si>
  <si>
    <t>神州信息</t>
  </si>
  <si>
    <t>京东方Ａ</t>
  </si>
  <si>
    <t>酒鬼酒</t>
  </si>
  <si>
    <t>紫光股份</t>
  </si>
  <si>
    <t>华东医药</t>
  </si>
  <si>
    <t>华工科技</t>
  </si>
  <si>
    <t>新 大 陆</t>
  </si>
  <si>
    <t>依依股份</t>
  </si>
  <si>
    <t>源飞宠物</t>
  </si>
  <si>
    <t>协鑫能科</t>
  </si>
  <si>
    <t>国轩高科</t>
  </si>
  <si>
    <t>恒宝股份</t>
  </si>
  <si>
    <t>东方锆业</t>
  </si>
  <si>
    <t>御银股份</t>
  </si>
  <si>
    <t>歌尔股份</t>
  </si>
  <si>
    <t>拓维信息</t>
  </si>
  <si>
    <t>恩华药业</t>
  </si>
  <si>
    <t>电科网安</t>
  </si>
  <si>
    <t>水晶光电</t>
  </si>
  <si>
    <t>光迅科技</t>
  </si>
  <si>
    <t>信立泰</t>
  </si>
  <si>
    <t>星网锐捷</t>
  </si>
  <si>
    <t>科伦药业</t>
  </si>
  <si>
    <t>赣锋锂业</t>
  </si>
  <si>
    <t>沪电股份</t>
  </si>
  <si>
    <t>立讯精密</t>
  </si>
  <si>
    <t>海联金汇</t>
  </si>
  <si>
    <t>领益智造</t>
  </si>
  <si>
    <t>安洁科技</t>
  </si>
  <si>
    <t>金龙羽</t>
  </si>
  <si>
    <t>中宠股份</t>
  </si>
  <si>
    <t>德赛西威</t>
  </si>
  <si>
    <t>鹏鼎控股</t>
  </si>
  <si>
    <t>兆威机电</t>
  </si>
  <si>
    <t>当升科技</t>
  </si>
  <si>
    <t>长盈精密</t>
  </si>
  <si>
    <t>瑞普生物</t>
  </si>
  <si>
    <t>信维通信</t>
  </si>
  <si>
    <t>福能东方</t>
  </si>
  <si>
    <t>翰宇药业</t>
  </si>
  <si>
    <t>中际旭创</t>
  </si>
  <si>
    <t>长亮科技</t>
  </si>
  <si>
    <t>飞天诚信</t>
  </si>
  <si>
    <t>天孚通信</t>
  </si>
  <si>
    <t>道氏技术</t>
  </si>
  <si>
    <t>蓝思科技</t>
  </si>
  <si>
    <t>鹏辉能源</t>
  </si>
  <si>
    <t>先导智能</t>
  </si>
  <si>
    <t>赢合科技</t>
  </si>
  <si>
    <t>四方精创</t>
  </si>
  <si>
    <t>新易盛</t>
  </si>
  <si>
    <t>雄帝科技</t>
  </si>
  <si>
    <t>太辰光</t>
  </si>
  <si>
    <t>金银河</t>
  </si>
  <si>
    <t>光库科技</t>
  </si>
  <si>
    <t>佩蒂股份</t>
  </si>
  <si>
    <t>中石科技</t>
  </si>
  <si>
    <t>拉卡拉</t>
  </si>
  <si>
    <t>欧陆通</t>
  </si>
  <si>
    <t>天阳科技</t>
  </si>
  <si>
    <t>联特科技</t>
  </si>
  <si>
    <t>海科新源</t>
  </si>
  <si>
    <t>天元宠物</t>
  </si>
  <si>
    <t>招商银行</t>
  </si>
  <si>
    <t>海正药业</t>
  </si>
  <si>
    <t>恒瑞医药</t>
  </si>
  <si>
    <t>恒生电子</t>
  </si>
  <si>
    <t>舍得酒业</t>
  </si>
  <si>
    <t>宝信软件</t>
  </si>
  <si>
    <t>工业富联</t>
  </si>
  <si>
    <t>中国中免</t>
  </si>
  <si>
    <t>中科曙光</t>
  </si>
  <si>
    <t>德新科技</t>
  </si>
  <si>
    <t>剑桥科技</t>
  </si>
  <si>
    <t>迎驾贡酒</t>
  </si>
  <si>
    <t>上海洗霸</t>
  </si>
  <si>
    <t>赛腾股份</t>
  </si>
  <si>
    <t>华勤技术</t>
  </si>
  <si>
    <t>普莱柯</t>
  </si>
  <si>
    <t>科森科技</t>
  </si>
  <si>
    <t>三祥新材</t>
  </si>
  <si>
    <t>数据港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</si>
</sst>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6F3DE-C567-4E84-AFD7-B4B6299F8CF9}">
  <dimension ref="A1:B97"/>
  <sheetViews>
    <sheetView tabSelected="1" topLeftCell="A58" workbookViewId="0">
      <selection activeCell="O80" sqref="O80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tr">
        <f>"603986"</f>
        <v>603986</v>
      </c>
      <c r="B2" t="s">
        <v>10</v>
      </c>
    </row>
    <row r="3" spans="1:2" x14ac:dyDescent="0.2">
      <c r="A3" t="str">
        <f>"603881"</f>
        <v>603881</v>
      </c>
      <c r="B3" t="s">
        <v>97</v>
      </c>
    </row>
    <row r="4" spans="1:2" x14ac:dyDescent="0.2">
      <c r="A4" t="str">
        <f>"603663"</f>
        <v>603663</v>
      </c>
      <c r="B4" t="s">
        <v>96</v>
      </c>
    </row>
    <row r="5" spans="1:2" x14ac:dyDescent="0.2">
      <c r="A5" t="str">
        <f>"603626"</f>
        <v>603626</v>
      </c>
      <c r="B5" t="s">
        <v>95</v>
      </c>
    </row>
    <row r="6" spans="1:2" x14ac:dyDescent="0.2">
      <c r="A6" t="str">
        <f>"603566"</f>
        <v>603566</v>
      </c>
      <c r="B6" t="s">
        <v>94</v>
      </c>
    </row>
    <row r="7" spans="1:2" x14ac:dyDescent="0.2">
      <c r="A7" t="str">
        <f>"603501"</f>
        <v>603501</v>
      </c>
      <c r="B7" t="s">
        <v>11</v>
      </c>
    </row>
    <row r="8" spans="1:2" x14ac:dyDescent="0.2">
      <c r="A8" t="str">
        <f>"603296"</f>
        <v>603296</v>
      </c>
      <c r="B8" t="s">
        <v>93</v>
      </c>
    </row>
    <row r="9" spans="1:2" x14ac:dyDescent="0.2">
      <c r="A9" t="str">
        <f>"603283"</f>
        <v>603283</v>
      </c>
      <c r="B9" t="s">
        <v>92</v>
      </c>
    </row>
    <row r="10" spans="1:2" x14ac:dyDescent="0.2">
      <c r="A10" t="str">
        <f>"603200"</f>
        <v>603200</v>
      </c>
      <c r="B10" t="s">
        <v>91</v>
      </c>
    </row>
    <row r="11" spans="1:2" x14ac:dyDescent="0.2">
      <c r="A11" t="str">
        <f>"603198"</f>
        <v>603198</v>
      </c>
      <c r="B11" t="s">
        <v>90</v>
      </c>
    </row>
    <row r="12" spans="1:2" x14ac:dyDescent="0.2">
      <c r="A12" t="str">
        <f>"603083"</f>
        <v>603083</v>
      </c>
      <c r="B12" t="s">
        <v>89</v>
      </c>
    </row>
    <row r="13" spans="1:2" x14ac:dyDescent="0.2">
      <c r="A13" t="str">
        <f>"603032"</f>
        <v>603032</v>
      </c>
      <c r="B13" t="s">
        <v>88</v>
      </c>
    </row>
    <row r="14" spans="1:2" x14ac:dyDescent="0.2">
      <c r="A14" t="str">
        <f>"603019"</f>
        <v>603019</v>
      </c>
      <c r="B14" t="s">
        <v>87</v>
      </c>
    </row>
    <row r="15" spans="1:2" x14ac:dyDescent="0.2">
      <c r="A15" t="str">
        <f>"601888"</f>
        <v>601888</v>
      </c>
      <c r="B15" t="s">
        <v>86</v>
      </c>
    </row>
    <row r="16" spans="1:2" x14ac:dyDescent="0.2">
      <c r="A16" t="str">
        <f>"601138"</f>
        <v>601138</v>
      </c>
      <c r="B16" t="s">
        <v>85</v>
      </c>
    </row>
    <row r="17" spans="1:2" x14ac:dyDescent="0.2">
      <c r="A17" t="str">
        <f>"600845"</f>
        <v>600845</v>
      </c>
      <c r="B17" t="s">
        <v>84</v>
      </c>
    </row>
    <row r="18" spans="1:2" x14ac:dyDescent="0.2">
      <c r="A18" t="str">
        <f>"600809"</f>
        <v>600809</v>
      </c>
      <c r="B18" t="s">
        <v>13</v>
      </c>
    </row>
    <row r="19" spans="1:2" x14ac:dyDescent="0.2">
      <c r="A19" t="str">
        <f>"600702"</f>
        <v>600702</v>
      </c>
      <c r="B19" t="s">
        <v>83</v>
      </c>
    </row>
    <row r="20" spans="1:2" x14ac:dyDescent="0.2">
      <c r="A20" t="str">
        <f>"600584"</f>
        <v>600584</v>
      </c>
      <c r="B20" t="s">
        <v>7</v>
      </c>
    </row>
    <row r="21" spans="1:2" x14ac:dyDescent="0.2">
      <c r="A21" t="str">
        <f>"600570"</f>
        <v>600570</v>
      </c>
      <c r="B21" t="s">
        <v>82</v>
      </c>
    </row>
    <row r="22" spans="1:2" x14ac:dyDescent="0.2">
      <c r="A22" t="str">
        <f>"600276"</f>
        <v>600276</v>
      </c>
      <c r="B22" t="s">
        <v>81</v>
      </c>
    </row>
    <row r="23" spans="1:2" x14ac:dyDescent="0.2">
      <c r="A23" t="str">
        <f>"600267"</f>
        <v>600267</v>
      </c>
      <c r="B23" t="s">
        <v>80</v>
      </c>
    </row>
    <row r="24" spans="1:2" x14ac:dyDescent="0.2">
      <c r="A24" t="str">
        <f>"600079"</f>
        <v>600079</v>
      </c>
      <c r="B24" t="s">
        <v>2</v>
      </c>
    </row>
    <row r="25" spans="1:2" x14ac:dyDescent="0.2">
      <c r="A25" t="str">
        <f>"600036"</f>
        <v>600036</v>
      </c>
      <c r="B25" t="s">
        <v>79</v>
      </c>
    </row>
    <row r="26" spans="1:2" x14ac:dyDescent="0.2">
      <c r="A26" t="str">
        <f>"301536"</f>
        <v>301536</v>
      </c>
      <c r="B26" t="s">
        <v>9</v>
      </c>
    </row>
    <row r="27" spans="1:2" x14ac:dyDescent="0.2">
      <c r="A27" t="str">
        <f>"301335"</f>
        <v>301335</v>
      </c>
      <c r="B27" t="s">
        <v>78</v>
      </c>
    </row>
    <row r="28" spans="1:2" x14ac:dyDescent="0.2">
      <c r="A28" t="str">
        <f>"301292"</f>
        <v>301292</v>
      </c>
      <c r="B28" t="s">
        <v>77</v>
      </c>
    </row>
    <row r="29" spans="1:2" x14ac:dyDescent="0.2">
      <c r="A29" t="str">
        <f>"301205"</f>
        <v>301205</v>
      </c>
      <c r="B29" t="s">
        <v>76</v>
      </c>
    </row>
    <row r="30" spans="1:2" x14ac:dyDescent="0.2">
      <c r="A30" t="str">
        <f>"300872"</f>
        <v>300872</v>
      </c>
      <c r="B30" t="s">
        <v>75</v>
      </c>
    </row>
    <row r="31" spans="1:2" x14ac:dyDescent="0.2">
      <c r="A31" t="str">
        <f>"300870"</f>
        <v>300870</v>
      </c>
      <c r="B31" t="s">
        <v>74</v>
      </c>
    </row>
    <row r="32" spans="1:2" x14ac:dyDescent="0.2">
      <c r="A32" t="str">
        <f>"300773"</f>
        <v>300773</v>
      </c>
      <c r="B32" t="s">
        <v>73</v>
      </c>
    </row>
    <row r="33" spans="1:2" x14ac:dyDescent="0.2">
      <c r="A33" t="str">
        <f>"300723"</f>
        <v>300723</v>
      </c>
      <c r="B33" t="s">
        <v>5</v>
      </c>
    </row>
    <row r="34" spans="1:2" x14ac:dyDescent="0.2">
      <c r="A34" t="str">
        <f>"300684"</f>
        <v>300684</v>
      </c>
      <c r="B34" t="s">
        <v>72</v>
      </c>
    </row>
    <row r="35" spans="1:2" x14ac:dyDescent="0.2">
      <c r="A35" t="str">
        <f>"300673"</f>
        <v>300673</v>
      </c>
      <c r="B35" t="s">
        <v>71</v>
      </c>
    </row>
    <row r="36" spans="1:2" x14ac:dyDescent="0.2">
      <c r="A36" t="str">
        <f>"300620"</f>
        <v>300620</v>
      </c>
      <c r="B36" t="s">
        <v>70</v>
      </c>
    </row>
    <row r="37" spans="1:2" x14ac:dyDescent="0.2">
      <c r="A37" t="str">
        <f>"300619"</f>
        <v>300619</v>
      </c>
      <c r="B37" t="s">
        <v>69</v>
      </c>
    </row>
    <row r="38" spans="1:2" x14ac:dyDescent="0.2">
      <c r="A38" t="str">
        <f>"300570"</f>
        <v>300570</v>
      </c>
      <c r="B38" t="s">
        <v>68</v>
      </c>
    </row>
    <row r="39" spans="1:2" x14ac:dyDescent="0.2">
      <c r="A39" t="str">
        <f>"300546"</f>
        <v>300546</v>
      </c>
      <c r="B39" t="s">
        <v>67</v>
      </c>
    </row>
    <row r="40" spans="1:2" x14ac:dyDescent="0.2">
      <c r="A40" t="str">
        <f>"300502"</f>
        <v>300502</v>
      </c>
      <c r="B40" t="s">
        <v>66</v>
      </c>
    </row>
    <row r="41" spans="1:2" x14ac:dyDescent="0.2">
      <c r="A41" t="str">
        <f>"300468"</f>
        <v>300468</v>
      </c>
      <c r="B41" t="s">
        <v>65</v>
      </c>
    </row>
    <row r="42" spans="1:2" x14ac:dyDescent="0.2">
      <c r="A42" t="str">
        <f>"300457"</f>
        <v>300457</v>
      </c>
      <c r="B42" t="s">
        <v>64</v>
      </c>
    </row>
    <row r="43" spans="1:2" x14ac:dyDescent="0.2">
      <c r="A43" t="str">
        <f>"300450"</f>
        <v>300450</v>
      </c>
      <c r="B43" t="s">
        <v>63</v>
      </c>
    </row>
    <row r="44" spans="1:2" x14ac:dyDescent="0.2">
      <c r="A44" t="str">
        <f>"300438"</f>
        <v>300438</v>
      </c>
      <c r="B44" t="s">
        <v>62</v>
      </c>
    </row>
    <row r="45" spans="1:2" x14ac:dyDescent="0.2">
      <c r="A45" t="str">
        <f>"300433"</f>
        <v>300433</v>
      </c>
      <c r="B45" t="s">
        <v>61</v>
      </c>
    </row>
    <row r="46" spans="1:2" x14ac:dyDescent="0.2">
      <c r="A46" t="str">
        <f>"300409"</f>
        <v>300409</v>
      </c>
      <c r="B46" t="s">
        <v>60</v>
      </c>
    </row>
    <row r="47" spans="1:2" x14ac:dyDescent="0.2">
      <c r="A47" t="str">
        <f>"300394"</f>
        <v>300394</v>
      </c>
      <c r="B47" t="s">
        <v>59</v>
      </c>
    </row>
    <row r="48" spans="1:2" x14ac:dyDescent="0.2">
      <c r="A48" t="str">
        <f>"300386"</f>
        <v>300386</v>
      </c>
      <c r="B48" t="s">
        <v>58</v>
      </c>
    </row>
    <row r="49" spans="1:2" x14ac:dyDescent="0.2">
      <c r="A49" t="str">
        <f>"300348"</f>
        <v>300348</v>
      </c>
      <c r="B49" t="s">
        <v>57</v>
      </c>
    </row>
    <row r="50" spans="1:2" x14ac:dyDescent="0.2">
      <c r="A50" t="str">
        <f>"300308"</f>
        <v>300308</v>
      </c>
      <c r="B50" t="s">
        <v>56</v>
      </c>
    </row>
    <row r="51" spans="1:2" x14ac:dyDescent="0.2">
      <c r="A51" t="str">
        <f>"300199"</f>
        <v>300199</v>
      </c>
      <c r="B51" t="s">
        <v>55</v>
      </c>
    </row>
    <row r="52" spans="1:2" x14ac:dyDescent="0.2">
      <c r="A52" t="str">
        <f>"300173"</f>
        <v>300173</v>
      </c>
      <c r="B52" t="s">
        <v>54</v>
      </c>
    </row>
    <row r="53" spans="1:2" x14ac:dyDescent="0.2">
      <c r="A53" t="str">
        <f>"300136"</f>
        <v>300136</v>
      </c>
      <c r="B53" t="s">
        <v>53</v>
      </c>
    </row>
    <row r="54" spans="1:2" x14ac:dyDescent="0.2">
      <c r="A54" t="str">
        <f>"300119"</f>
        <v>300119</v>
      </c>
      <c r="B54" t="s">
        <v>52</v>
      </c>
    </row>
    <row r="55" spans="1:2" x14ac:dyDescent="0.2">
      <c r="A55" t="str">
        <f>"300115"</f>
        <v>300115</v>
      </c>
      <c r="B55" t="s">
        <v>51</v>
      </c>
    </row>
    <row r="56" spans="1:2" x14ac:dyDescent="0.2">
      <c r="A56" t="str">
        <f>"300073"</f>
        <v>300073</v>
      </c>
      <c r="B56" t="s">
        <v>50</v>
      </c>
    </row>
    <row r="57" spans="1:2" x14ac:dyDescent="0.2">
      <c r="A57" t="str">
        <f>"003021"</f>
        <v>003021</v>
      </c>
      <c r="B57" t="s">
        <v>49</v>
      </c>
    </row>
    <row r="58" spans="1:2" x14ac:dyDescent="0.2">
      <c r="A58" t="str">
        <f>"002938"</f>
        <v>002938</v>
      </c>
      <c r="B58" t="s">
        <v>48</v>
      </c>
    </row>
    <row r="59" spans="1:2" x14ac:dyDescent="0.2">
      <c r="A59" t="str">
        <f>"002920"</f>
        <v>002920</v>
      </c>
      <c r="B59" t="s">
        <v>47</v>
      </c>
    </row>
    <row r="60" spans="1:2" x14ac:dyDescent="0.2">
      <c r="A60" t="str">
        <f>"002891"</f>
        <v>002891</v>
      </c>
      <c r="B60" t="s">
        <v>46</v>
      </c>
    </row>
    <row r="61" spans="1:2" x14ac:dyDescent="0.2">
      <c r="A61" t="str">
        <f>"002882"</f>
        <v>002882</v>
      </c>
      <c r="B61" t="s">
        <v>45</v>
      </c>
    </row>
    <row r="62" spans="1:2" x14ac:dyDescent="0.2">
      <c r="A62" t="str">
        <f>"002653"</f>
        <v>002653</v>
      </c>
      <c r="B62" t="s">
        <v>6</v>
      </c>
    </row>
    <row r="63" spans="1:2" x14ac:dyDescent="0.2">
      <c r="A63" t="str">
        <f>"002635"</f>
        <v>002635</v>
      </c>
      <c r="B63" t="s">
        <v>44</v>
      </c>
    </row>
    <row r="64" spans="1:2" x14ac:dyDescent="0.2">
      <c r="A64" t="str">
        <f>"002600"</f>
        <v>002600</v>
      </c>
      <c r="B64" t="s">
        <v>43</v>
      </c>
    </row>
    <row r="65" spans="1:2" x14ac:dyDescent="0.2">
      <c r="A65" t="str">
        <f>"002537"</f>
        <v>002537</v>
      </c>
      <c r="B65" t="s">
        <v>42</v>
      </c>
    </row>
    <row r="66" spans="1:2" x14ac:dyDescent="0.2">
      <c r="A66" t="str">
        <f>"002475"</f>
        <v>002475</v>
      </c>
      <c r="B66" t="s">
        <v>41</v>
      </c>
    </row>
    <row r="67" spans="1:2" x14ac:dyDescent="0.2">
      <c r="A67" t="str">
        <f>"002463"</f>
        <v>002463</v>
      </c>
      <c r="B67" t="s">
        <v>40</v>
      </c>
    </row>
    <row r="68" spans="1:2" x14ac:dyDescent="0.2">
      <c r="A68" t="str">
        <f>"002460"</f>
        <v>002460</v>
      </c>
      <c r="B68" t="s">
        <v>39</v>
      </c>
    </row>
    <row r="69" spans="1:2" x14ac:dyDescent="0.2">
      <c r="A69" t="str">
        <f>"002422"</f>
        <v>002422</v>
      </c>
      <c r="B69" t="s">
        <v>38</v>
      </c>
    </row>
    <row r="70" spans="1:2" x14ac:dyDescent="0.2">
      <c r="A70" t="str">
        <f>"002396"</f>
        <v>002396</v>
      </c>
      <c r="B70" t="s">
        <v>37</v>
      </c>
    </row>
    <row r="71" spans="1:2" x14ac:dyDescent="0.2">
      <c r="A71" t="str">
        <f>"002371"</f>
        <v>002371</v>
      </c>
      <c r="B71" t="s">
        <v>8</v>
      </c>
    </row>
    <row r="72" spans="1:2" x14ac:dyDescent="0.2">
      <c r="A72" t="str">
        <f>"002294"</f>
        <v>002294</v>
      </c>
      <c r="B72" t="s">
        <v>36</v>
      </c>
    </row>
    <row r="73" spans="1:2" x14ac:dyDescent="0.2">
      <c r="A73" t="str">
        <f>"002281"</f>
        <v>002281</v>
      </c>
      <c r="B73" t="s">
        <v>35</v>
      </c>
    </row>
    <row r="74" spans="1:2" x14ac:dyDescent="0.2">
      <c r="A74" t="str">
        <f>"002273"</f>
        <v>002273</v>
      </c>
      <c r="B74" t="s">
        <v>34</v>
      </c>
    </row>
    <row r="75" spans="1:2" x14ac:dyDescent="0.2">
      <c r="A75" t="str">
        <f>"002268"</f>
        <v>002268</v>
      </c>
      <c r="B75" t="s">
        <v>33</v>
      </c>
    </row>
    <row r="76" spans="1:2" x14ac:dyDescent="0.2">
      <c r="A76" t="str">
        <f>"002262"</f>
        <v>002262</v>
      </c>
      <c r="B76" t="s">
        <v>32</v>
      </c>
    </row>
    <row r="77" spans="1:2" x14ac:dyDescent="0.2">
      <c r="A77" t="str">
        <f>"002261"</f>
        <v>002261</v>
      </c>
      <c r="B77" t="s">
        <v>31</v>
      </c>
    </row>
    <row r="78" spans="1:2" x14ac:dyDescent="0.2">
      <c r="A78" t="str">
        <f>"002241"</f>
        <v>002241</v>
      </c>
      <c r="B78" t="s">
        <v>30</v>
      </c>
    </row>
    <row r="79" spans="1:2" x14ac:dyDescent="0.2">
      <c r="A79" t="str">
        <f>"002230"</f>
        <v>002230</v>
      </c>
      <c r="B79" t="s">
        <v>3</v>
      </c>
    </row>
    <row r="80" spans="1:2" x14ac:dyDescent="0.2">
      <c r="A80" t="str">
        <f>"002177"</f>
        <v>002177</v>
      </c>
      <c r="B80" t="s">
        <v>29</v>
      </c>
    </row>
    <row r="81" spans="1:2" x14ac:dyDescent="0.2">
      <c r="A81" t="str">
        <f>"002167"</f>
        <v>002167</v>
      </c>
      <c r="B81" t="s">
        <v>28</v>
      </c>
    </row>
    <row r="82" spans="1:2" x14ac:dyDescent="0.2">
      <c r="A82" t="str">
        <f>"002104"</f>
        <v>002104</v>
      </c>
      <c r="B82" t="s">
        <v>27</v>
      </c>
    </row>
    <row r="83" spans="1:2" x14ac:dyDescent="0.2">
      <c r="A83" t="str">
        <f>"002074"</f>
        <v>002074</v>
      </c>
      <c r="B83" t="s">
        <v>26</v>
      </c>
    </row>
    <row r="84" spans="1:2" x14ac:dyDescent="0.2">
      <c r="A84" t="str">
        <f>"002015"</f>
        <v>002015</v>
      </c>
      <c r="B84" t="s">
        <v>25</v>
      </c>
    </row>
    <row r="85" spans="1:2" x14ac:dyDescent="0.2">
      <c r="A85" t="str">
        <f>"001222"</f>
        <v>001222</v>
      </c>
      <c r="B85" t="s">
        <v>24</v>
      </c>
    </row>
    <row r="86" spans="1:2" x14ac:dyDescent="0.2">
      <c r="A86" t="str">
        <f>"001206"</f>
        <v>001206</v>
      </c>
      <c r="B86" t="s">
        <v>23</v>
      </c>
    </row>
    <row r="87" spans="1:2" x14ac:dyDescent="0.2">
      <c r="A87" t="str">
        <f>"000997"</f>
        <v>000997</v>
      </c>
      <c r="B87" t="s">
        <v>22</v>
      </c>
    </row>
    <row r="88" spans="1:2" x14ac:dyDescent="0.2">
      <c r="A88" t="str">
        <f>"000988"</f>
        <v>000988</v>
      </c>
      <c r="B88" t="s">
        <v>21</v>
      </c>
    </row>
    <row r="89" spans="1:2" x14ac:dyDescent="0.2">
      <c r="A89" t="str">
        <f>"000977"</f>
        <v>000977</v>
      </c>
      <c r="B89" t="s">
        <v>4</v>
      </c>
    </row>
    <row r="90" spans="1:2" x14ac:dyDescent="0.2">
      <c r="A90" t="str">
        <f>"000963"</f>
        <v>000963</v>
      </c>
      <c r="B90" t="s">
        <v>20</v>
      </c>
    </row>
    <row r="91" spans="1:2" x14ac:dyDescent="0.2">
      <c r="A91" t="str">
        <f>"000938"</f>
        <v>000938</v>
      </c>
      <c r="B91" t="s">
        <v>19</v>
      </c>
    </row>
    <row r="92" spans="1:2" x14ac:dyDescent="0.2">
      <c r="A92" t="str">
        <f>"000799"</f>
        <v>000799</v>
      </c>
      <c r="B92" t="s">
        <v>18</v>
      </c>
    </row>
    <row r="93" spans="1:2" x14ac:dyDescent="0.2">
      <c r="A93" t="str">
        <f>"000725"</f>
        <v>000725</v>
      </c>
      <c r="B93" t="s">
        <v>17</v>
      </c>
    </row>
    <row r="94" spans="1:2" x14ac:dyDescent="0.2">
      <c r="A94" t="str">
        <f>"000596"</f>
        <v>000596</v>
      </c>
      <c r="B94" t="s">
        <v>12</v>
      </c>
    </row>
    <row r="95" spans="1:2" x14ac:dyDescent="0.2">
      <c r="A95" t="str">
        <f>"000555"</f>
        <v>000555</v>
      </c>
      <c r="B95" t="s">
        <v>16</v>
      </c>
    </row>
    <row r="96" spans="1:2" x14ac:dyDescent="0.2">
      <c r="A96" t="str">
        <f>"000049"</f>
        <v>000049</v>
      </c>
      <c r="B96" t="s">
        <v>15</v>
      </c>
    </row>
    <row r="97" spans="1:2" x14ac:dyDescent="0.2">
      <c r="A97" t="str">
        <f>"000009"</f>
        <v>000009</v>
      </c>
      <c r="B97" t="s"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联盟成员清单20250623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Kerwin Liu</dc:creator>
  <cp:lastModifiedBy>Kerwin Liu</cp:lastModifiedBy>
  <dcterms:created xsi:type="dcterms:W3CDTF">2025-06-23T04:35:48Z</dcterms:created>
  <dcterms:modified xsi:type="dcterms:W3CDTF">2025-07-19T15:03:40Z</dcterms:modified>
</cp:coreProperties>
</file>