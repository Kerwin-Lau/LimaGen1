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5_BackTest\01_Ashares\01_List\"/>
    </mc:Choice>
  </mc:AlternateContent>
  <xr:revisionPtr revIDLastSave="0" documentId="13_ncr:1_{26BD0A6C-691F-453A-8B60-63E99A13D629}" xr6:coauthVersionLast="47" xr6:coauthVersionMax="47" xr10:uidLastSave="{00000000-0000-0000-0000-000000000000}"/>
  <bookViews>
    <workbookView xWindow="30612" yWindow="2400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01" i="1" l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<sst xmlns="http://schemas.openxmlformats.org/spreadsheetml/2006/main" count="1205" uniqueCount="537">
  <si>
    <t>代码</t>
  </si>
  <si>
    <t>名称</t>
  </si>
  <si>
    <t>平安银行</t>
  </si>
  <si>
    <t>万 科Ａ</t>
  </si>
  <si>
    <t>中兴通讯</t>
  </si>
  <si>
    <t>TCL科技</t>
  </si>
  <si>
    <t>中联重科</t>
  </si>
  <si>
    <t>申万宏源</t>
  </si>
  <si>
    <t>东方盛虹</t>
  </si>
  <si>
    <t>美的集团</t>
  </si>
  <si>
    <t>潍柴动力</t>
  </si>
  <si>
    <t>藏格矿业</t>
  </si>
  <si>
    <t>徐工机械</t>
  </si>
  <si>
    <t>云南白药</t>
  </si>
  <si>
    <t>泸州老窖</t>
  </si>
  <si>
    <t>古井贡酒</t>
  </si>
  <si>
    <t>中油资本</t>
  </si>
  <si>
    <t>长安汽车</t>
  </si>
  <si>
    <t>铜陵有色</t>
  </si>
  <si>
    <t>格力电器</t>
  </si>
  <si>
    <t>中钨高新</t>
  </si>
  <si>
    <t>中信特钢</t>
  </si>
  <si>
    <t>京东方Ａ</t>
  </si>
  <si>
    <t>中航西飞</t>
  </si>
  <si>
    <t>广发证券</t>
  </si>
  <si>
    <t>盐湖股份</t>
  </si>
  <si>
    <t>云铝股份</t>
  </si>
  <si>
    <t>五 粮 液</t>
  </si>
  <si>
    <t>双汇发展</t>
  </si>
  <si>
    <t>紫光股份</t>
  </si>
  <si>
    <t>华东医药</t>
  </si>
  <si>
    <t>山金国际</t>
  </si>
  <si>
    <t>浪潮信息</t>
  </si>
  <si>
    <t>华工科技</t>
  </si>
  <si>
    <t>华润三九</t>
  </si>
  <si>
    <t>中国铀业</t>
  </si>
  <si>
    <t>国货航</t>
  </si>
  <si>
    <t>招商公路</t>
  </si>
  <si>
    <t>招商蛇口</t>
  </si>
  <si>
    <t>新 和 成</t>
  </si>
  <si>
    <t>分众传媒</t>
  </si>
  <si>
    <t>思源电气</t>
  </si>
  <si>
    <t>紫光国微</t>
  </si>
  <si>
    <t>三花智控</t>
  </si>
  <si>
    <t>国轩高科</t>
  </si>
  <si>
    <t>宁波银行</t>
  </si>
  <si>
    <t>中航光电</t>
  </si>
  <si>
    <t>金风科技</t>
  </si>
  <si>
    <t>科大讯飞</t>
  </si>
  <si>
    <t>大华股份</t>
  </si>
  <si>
    <t>歌尔股份</t>
  </si>
  <si>
    <t>洋河股份</t>
  </si>
  <si>
    <t>海大集团</t>
  </si>
  <si>
    <t>顺丰控股</t>
  </si>
  <si>
    <t>杰瑞股份</t>
  </si>
  <si>
    <t>北方华创</t>
  </si>
  <si>
    <t>东山精密</t>
  </si>
  <si>
    <t>海康威视</t>
  </si>
  <si>
    <t>科伦药业</t>
  </si>
  <si>
    <t>赣锋锂业</t>
  </si>
  <si>
    <t>沪电股份</t>
  </si>
  <si>
    <t>天齐锂业</t>
  </si>
  <si>
    <t>立讯精密</t>
  </si>
  <si>
    <t>荣盛石化</t>
  </si>
  <si>
    <t>天山铝业</t>
  </si>
  <si>
    <t>巨人网络</t>
  </si>
  <si>
    <t>比亚迪</t>
  </si>
  <si>
    <t>领益智造</t>
  </si>
  <si>
    <t>世纪华通</t>
  </si>
  <si>
    <t>光启技术</t>
  </si>
  <si>
    <t>卫星化学</t>
  </si>
  <si>
    <t>天赐材料</t>
  </si>
  <si>
    <t>牧原股份</t>
  </si>
  <si>
    <t>国信证券</t>
  </si>
  <si>
    <t>英维克</t>
  </si>
  <si>
    <t>深南电路</t>
  </si>
  <si>
    <t>德赛西威</t>
  </si>
  <si>
    <t>鹏鼎控股</t>
  </si>
  <si>
    <t>中国广核</t>
  </si>
  <si>
    <t>亿纬锂能</t>
  </si>
  <si>
    <t>爱尔眼科</t>
  </si>
  <si>
    <t>同花顺</t>
  </si>
  <si>
    <t>东方财富</t>
  </si>
  <si>
    <t>智飞生物</t>
  </si>
  <si>
    <t>汇川技术</t>
  </si>
  <si>
    <t>光线传媒</t>
  </si>
  <si>
    <t>阳光电源</t>
  </si>
  <si>
    <t>中际旭创</t>
  </si>
  <si>
    <t>晶盛机电</t>
  </si>
  <si>
    <t>天孚通信</t>
  </si>
  <si>
    <t>三环集团</t>
  </si>
  <si>
    <t>芒果超媒</t>
  </si>
  <si>
    <t>昆仑万维</t>
  </si>
  <si>
    <t>蓝思科技</t>
  </si>
  <si>
    <t>润泽科技</t>
  </si>
  <si>
    <t>先导智能</t>
  </si>
  <si>
    <t>胜宏科技</t>
  </si>
  <si>
    <t>温氏股份</t>
  </si>
  <si>
    <t>新易盛</t>
  </si>
  <si>
    <t>亿联网络</t>
  </si>
  <si>
    <t>圣邦股份</t>
  </si>
  <si>
    <t>宁德时代</t>
  </si>
  <si>
    <t>迈瑞医疗</t>
  </si>
  <si>
    <t>指南针</t>
  </si>
  <si>
    <t>新产业</t>
  </si>
  <si>
    <t>安克创新</t>
  </si>
  <si>
    <t>爱美客</t>
  </si>
  <si>
    <t>金龙鱼</t>
  </si>
  <si>
    <t>锐捷网络</t>
  </si>
  <si>
    <t>软通动力</t>
  </si>
  <si>
    <t>华大九天</t>
  </si>
  <si>
    <t>江波龙</t>
  </si>
  <si>
    <t>中航成飞</t>
  </si>
  <si>
    <t>浦发银行</t>
  </si>
  <si>
    <t>上海机场</t>
  </si>
  <si>
    <t>包钢股份</t>
  </si>
  <si>
    <t>华能国际</t>
  </si>
  <si>
    <t>华夏银行</t>
  </si>
  <si>
    <t>民生银行</t>
  </si>
  <si>
    <t>上港集团</t>
  </si>
  <si>
    <t>宝钢股份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</si>
  <si>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</si>
  <si>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</si>
  <si>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</si>
  <si>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</si>
  <si>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</si>
  <si>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</si>
  <si>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</si>
  <si>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</si>
  <si>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招商银行</t>
  </si>
  <si>
    <t>四川路桥</t>
  </si>
  <si>
    <t>保利发展</t>
  </si>
  <si>
    <t>中国联通</t>
  </si>
  <si>
    <t>国投资本</t>
  </si>
  <si>
    <t>宇通客车</t>
  </si>
  <si>
    <t>同仁堂</t>
  </si>
  <si>
    <t>特变电工</t>
  </si>
  <si>
    <t>上汽集团</t>
  </si>
  <si>
    <t>北方稀土</t>
  </si>
  <si>
    <t>中国东航</t>
  </si>
  <si>
    <t>中国卫星</t>
  </si>
  <si>
    <t>中国船舶</t>
  </si>
  <si>
    <t>巨化股份</t>
  </si>
  <si>
    <t>中国巨石</t>
  </si>
  <si>
    <t>生益科技</t>
  </si>
  <si>
    <t>兖矿能源</t>
  </si>
  <si>
    <t>复星医药</t>
  </si>
  <si>
    <t>南山铝业</t>
  </si>
  <si>
    <t>海航控股</t>
  </si>
  <si>
    <t>圆通速递</t>
  </si>
  <si>
    <t>恒瑞医药</t>
  </si>
  <si>
    <t>万华化学</t>
  </si>
  <si>
    <t>恒力石化</t>
  </si>
  <si>
    <t>江西铜业</t>
  </si>
  <si>
    <t>中航机载</t>
  </si>
  <si>
    <t>国电南瑞</t>
  </si>
  <si>
    <t>小商品城</t>
  </si>
  <si>
    <t>华鲁恒升</t>
  </si>
  <si>
    <t>片仔癀</t>
  </si>
  <si>
    <t>通威股份</t>
  </si>
  <si>
    <t>士兰微</t>
  </si>
  <si>
    <t>中国动力</t>
  </si>
  <si>
    <t>中金黄金</t>
  </si>
  <si>
    <t>海南机场</t>
  </si>
  <si>
    <t>贵州茅台</t>
  </si>
  <si>
    <t>中天科技</t>
  </si>
  <si>
    <t>山东黄金</t>
  </si>
  <si>
    <t>厦门钨业</t>
  </si>
  <si>
    <t>恒生电子</t>
  </si>
  <si>
    <t>长电科技</t>
  </si>
  <si>
    <t>海螺水泥</t>
  </si>
  <si>
    <t>用友网络</t>
  </si>
  <si>
    <t>青岛啤酒</t>
  </si>
  <si>
    <t>福耀玻璃</t>
  </si>
  <si>
    <t>川投能源</t>
  </si>
  <si>
    <t>海尔智家</t>
  </si>
  <si>
    <t>华域汽车</t>
  </si>
  <si>
    <t>中航沈飞</t>
  </si>
  <si>
    <t>国电电力</t>
  </si>
  <si>
    <t>新奥股份</t>
  </si>
  <si>
    <t>山西汾酒</t>
  </si>
  <si>
    <t>宝信软件</t>
  </si>
  <si>
    <t>东方电气</t>
  </si>
  <si>
    <t>国投电力</t>
  </si>
  <si>
    <t>伊利股份</t>
  </si>
  <si>
    <t>航发动力</t>
  </si>
  <si>
    <t>长江电力</t>
  </si>
  <si>
    <t>三峡能源</t>
  </si>
  <si>
    <t>中泰证券</t>
  </si>
  <si>
    <t>江苏银行</t>
  </si>
  <si>
    <t>XD杭州银</t>
  </si>
  <si>
    <t>华电新能</t>
  </si>
  <si>
    <t>中国海油</t>
  </si>
  <si>
    <t>中国移动</t>
  </si>
  <si>
    <t>东方证券</t>
  </si>
  <si>
    <t>宝丰能源</t>
  </si>
  <si>
    <t>招商证券</t>
  </si>
  <si>
    <t>大秦铁路</t>
  </si>
  <si>
    <t>XD南京银</t>
  </si>
  <si>
    <t>隆基绿能</t>
  </si>
  <si>
    <t>宁波港</t>
  </si>
  <si>
    <t>春秋航空</t>
  </si>
  <si>
    <t>赛轮轮胎</t>
  </si>
  <si>
    <t>信达证券</t>
  </si>
  <si>
    <t>中信建投</t>
  </si>
  <si>
    <t>渝农商行</t>
  </si>
  <si>
    <t>中国神华</t>
  </si>
  <si>
    <t>恒立液压</t>
  </si>
  <si>
    <t>中国国航</t>
  </si>
  <si>
    <t>中国化学</t>
  </si>
  <si>
    <t>赛力斯</t>
  </si>
  <si>
    <t>首创证券</t>
  </si>
  <si>
    <t>工业富联</t>
  </si>
  <si>
    <t>兴业银行</t>
  </si>
  <si>
    <t>北京银行</t>
  </si>
  <si>
    <t>中国铁建</t>
  </si>
  <si>
    <t>国泰海通</t>
  </si>
  <si>
    <t>陕西煤业</t>
  </si>
  <si>
    <t>上海银行</t>
  </si>
  <si>
    <t>广汽集团</t>
  </si>
  <si>
    <t>农业银行</t>
  </si>
  <si>
    <t>中国平安</t>
  </si>
  <si>
    <t>中国人保</t>
  </si>
  <si>
    <t>交通银行</t>
  </si>
  <si>
    <t>新华保险</t>
  </si>
  <si>
    <t>三六零</t>
  </si>
  <si>
    <t>兴业证券</t>
  </si>
  <si>
    <t>中国中铁</t>
  </si>
  <si>
    <t>工商银行</t>
  </si>
  <si>
    <t>国联民生</t>
  </si>
  <si>
    <t>中国铝业</t>
  </si>
  <si>
    <t>中国太保</t>
  </si>
  <si>
    <t>上海医药</t>
  </si>
  <si>
    <t>中国中冶</t>
  </si>
  <si>
    <t>中国人寿</t>
  </si>
  <si>
    <t>长城汽车</t>
  </si>
  <si>
    <t>邮储银行</t>
  </si>
  <si>
    <t>中国建筑</t>
  </si>
  <si>
    <t>中国电建</t>
  </si>
  <si>
    <t>华泰证券</t>
  </si>
  <si>
    <t>拓普集团</t>
  </si>
  <si>
    <t>中国卫通</t>
  </si>
  <si>
    <t>上海电气</t>
  </si>
  <si>
    <t>中国电信</t>
  </si>
  <si>
    <t>中国中车</t>
  </si>
  <si>
    <t>光大证券</t>
  </si>
  <si>
    <t>中国交建</t>
  </si>
  <si>
    <t>京沪高铁</t>
  </si>
  <si>
    <t>光大银行</t>
  </si>
  <si>
    <t>沪农商行</t>
  </si>
  <si>
    <t>成都银行</t>
  </si>
  <si>
    <t>中国石油</t>
  </si>
  <si>
    <t>中国能建</t>
  </si>
  <si>
    <t>招商轮船</t>
  </si>
  <si>
    <t>正泰电器</t>
  </si>
  <si>
    <t>浙商证券</t>
  </si>
  <si>
    <t>中国银河</t>
  </si>
  <si>
    <t>中国中免</t>
  </si>
  <si>
    <t>中煤能源</t>
  </si>
  <si>
    <t>紫金矿业</t>
  </si>
  <si>
    <t>方正证券</t>
  </si>
  <si>
    <t>浙商银行</t>
  </si>
  <si>
    <t>中远海控</t>
  </si>
  <si>
    <t>建设银行</t>
  </si>
  <si>
    <t>中国核电</t>
  </si>
  <si>
    <t>中国银行</t>
  </si>
  <si>
    <t>中金公司</t>
  </si>
  <si>
    <t>中信银行</t>
  </si>
  <si>
    <t>中科曙光</t>
  </si>
  <si>
    <t>药明康德</t>
  </si>
  <si>
    <t>合盛硅业</t>
  </si>
  <si>
    <t>XD海天味</t>
  </si>
  <si>
    <t>华勤技术</t>
  </si>
  <si>
    <t>今世缘</t>
  </si>
  <si>
    <t>万泰生物</t>
  </si>
  <si>
    <t>豪威集团</t>
  </si>
  <si>
    <t>华友钴业</t>
  </si>
  <si>
    <t>瑞芯微</t>
  </si>
  <si>
    <t>兆易创新</t>
  </si>
  <si>
    <t>洛阳钼业</t>
  </si>
  <si>
    <t>德业股份</t>
  </si>
  <si>
    <t>东鹏饮料</t>
  </si>
  <si>
    <t>澜起科技</t>
  </si>
  <si>
    <t>中国通号</t>
  </si>
  <si>
    <t>中微公司</t>
  </si>
  <si>
    <t>传音控股</t>
  </si>
  <si>
    <t>海光信息</t>
  </si>
  <si>
    <t>龙芯中科</t>
  </si>
  <si>
    <t>拓荆科技</t>
  </si>
  <si>
    <t>盛美上海</t>
  </si>
  <si>
    <t>金山办公</t>
  </si>
  <si>
    <t>沪硅产业</t>
  </si>
  <si>
    <t>生益电子</t>
  </si>
  <si>
    <t>晶科能源</t>
  </si>
  <si>
    <t>寒武纪</t>
  </si>
  <si>
    <t>联影医疗</t>
  </si>
  <si>
    <t>大全能源</t>
  </si>
  <si>
    <t>华润微</t>
  </si>
  <si>
    <t>阿特斯</t>
  </si>
  <si>
    <t>百利天恒</t>
  </si>
  <si>
    <t>芯原股份</t>
  </si>
  <si>
    <t>中芯国际</t>
  </si>
  <si>
    <t>一二级行业</t>
  </si>
  <si>
    <t>细分行业</t>
  </si>
  <si>
    <t>地区</t>
  </si>
  <si>
    <t>银行-全国性银行</t>
  </si>
  <si>
    <t>股份制银行</t>
  </si>
  <si>
    <t>深圳</t>
  </si>
  <si>
    <t>房地产-房地产开发</t>
  </si>
  <si>
    <t>住宅开发</t>
  </si>
  <si>
    <t>通信-通信设备</t>
  </si>
  <si>
    <t>系统设备</t>
  </si>
  <si>
    <t>电子-光学光电</t>
  </si>
  <si>
    <t>面板</t>
  </si>
  <si>
    <t>广东</t>
  </si>
  <si>
    <t>机械设备-工程机械</t>
  </si>
  <si>
    <t>工程机械整机</t>
  </si>
  <si>
    <t>湖南</t>
  </si>
  <si>
    <t>非银金融-证券</t>
  </si>
  <si>
    <t>证券</t>
  </si>
  <si>
    <t>新疆</t>
  </si>
  <si>
    <t>化工-化纤</t>
  </si>
  <si>
    <t>涤纶</t>
  </si>
  <si>
    <t>江苏</t>
  </si>
  <si>
    <t>家电-白色家电</t>
  </si>
  <si>
    <t>空调</t>
  </si>
  <si>
    <t>汽车-汽车零部件</t>
  </si>
  <si>
    <t>底盘与发动机系统</t>
  </si>
  <si>
    <t>山东</t>
  </si>
  <si>
    <t>化工-农用化工</t>
  </si>
  <si>
    <t>钾肥</t>
  </si>
  <si>
    <t>青海</t>
  </si>
  <si>
    <t>医药医疗-中药</t>
  </si>
  <si>
    <t>中药</t>
  </si>
  <si>
    <t>云南</t>
  </si>
  <si>
    <t>食品饮料-酿酒</t>
  </si>
  <si>
    <t>白酒</t>
  </si>
  <si>
    <t>四川</t>
  </si>
  <si>
    <t>安徽</t>
  </si>
  <si>
    <t>非银金融-多元金融</t>
  </si>
  <si>
    <t>金融控股</t>
  </si>
  <si>
    <t>汽车-乘用车</t>
  </si>
  <si>
    <t>综合乘用车</t>
  </si>
  <si>
    <t>重庆</t>
  </si>
  <si>
    <t>有色-工业金属</t>
  </si>
  <si>
    <t>铜</t>
  </si>
  <si>
    <t>有色-稀有金属</t>
  </si>
  <si>
    <t>钨钼</t>
  </si>
  <si>
    <t>海南</t>
  </si>
  <si>
    <t>钢铁-特钢</t>
  </si>
  <si>
    <t>特钢</t>
  </si>
  <si>
    <t>湖北</t>
  </si>
  <si>
    <t>北京</t>
  </si>
  <si>
    <t>国防军工-航空装备</t>
  </si>
  <si>
    <t>航空装备</t>
  </si>
  <si>
    <t>陕西</t>
  </si>
  <si>
    <t>铝</t>
  </si>
  <si>
    <t>食品饮料-食品加工</t>
  </si>
  <si>
    <t>肉制品</t>
  </si>
  <si>
    <t>河南</t>
  </si>
  <si>
    <t>计算机-IT设备</t>
  </si>
  <si>
    <t>其他IT设备</t>
  </si>
  <si>
    <t>医药医疗-化学制药</t>
  </si>
  <si>
    <t>化学制剂</t>
  </si>
  <si>
    <t>浙江</t>
  </si>
  <si>
    <t>有色-贵金属</t>
  </si>
  <si>
    <t>黄金</t>
  </si>
  <si>
    <t>内蒙</t>
  </si>
  <si>
    <t>机械设备-自动化设备</t>
  </si>
  <si>
    <t>激光设备</t>
  </si>
  <si>
    <t>其他金属</t>
  </si>
  <si>
    <t>交通运输-物流</t>
  </si>
  <si>
    <t>跨境物流</t>
  </si>
  <si>
    <t>交通运输-公路铁路</t>
  </si>
  <si>
    <t>高速公路</t>
  </si>
  <si>
    <t>天津</t>
  </si>
  <si>
    <t>化工-化学制品</t>
  </si>
  <si>
    <t>食品助剂</t>
  </si>
  <si>
    <t>传媒-广告营销</t>
  </si>
  <si>
    <t>其他广告营销</t>
  </si>
  <si>
    <t>上海</t>
  </si>
  <si>
    <t>电力设备-电网设备</t>
  </si>
  <si>
    <t>输变电设备</t>
  </si>
  <si>
    <t>电子-半导体</t>
  </si>
  <si>
    <t>集成电路设计</t>
  </si>
  <si>
    <t>河北</t>
  </si>
  <si>
    <t>家电-家电零部件</t>
  </si>
  <si>
    <t>家电零部件</t>
  </si>
  <si>
    <t>电力设备-电池</t>
  </si>
  <si>
    <t>锂电池</t>
  </si>
  <si>
    <t>银行-地方性银行</t>
  </si>
  <si>
    <t>城商行</t>
  </si>
  <si>
    <t>国防军工-军工电子</t>
  </si>
  <si>
    <t>军工电子</t>
  </si>
  <si>
    <t>电力设备-风电设备</t>
  </si>
  <si>
    <t>风电整机</t>
  </si>
  <si>
    <t>计算机-软件服务</t>
  </si>
  <si>
    <t>新兴软件</t>
  </si>
  <si>
    <t>安防设备</t>
  </si>
  <si>
    <t>电子-消费电子</t>
  </si>
  <si>
    <t>消费电子组件</t>
  </si>
  <si>
    <t>农林牧渔-饲料</t>
  </si>
  <si>
    <t>水产饲料</t>
  </si>
  <si>
    <t>快递</t>
  </si>
  <si>
    <t>机械设备-专用设备</t>
  </si>
  <si>
    <t>能源及重型设备</t>
  </si>
  <si>
    <t>半导体设备</t>
  </si>
  <si>
    <t>电子-元器件</t>
  </si>
  <si>
    <t>PCB</t>
  </si>
  <si>
    <t>有色-能源金属</t>
  </si>
  <si>
    <t>锂</t>
  </si>
  <si>
    <t>江西</t>
  </si>
  <si>
    <t>传媒-游戏</t>
  </si>
  <si>
    <t>游戏</t>
  </si>
  <si>
    <t>电动乘用车</t>
  </si>
  <si>
    <t>化工-化学原料</t>
  </si>
  <si>
    <t>有机化工原料</t>
  </si>
  <si>
    <t>电池化学品</t>
  </si>
  <si>
    <t>农林牧渔-养殖业</t>
  </si>
  <si>
    <t>生猪养殖</t>
  </si>
  <si>
    <t>其他专用设备</t>
  </si>
  <si>
    <t>汽车电子电气系统</t>
  </si>
  <si>
    <t>公用事业-电力</t>
  </si>
  <si>
    <t>核力发电</t>
  </si>
  <si>
    <t>医药医疗-医疗服务</t>
  </si>
  <si>
    <t>医院</t>
  </si>
  <si>
    <t>行业应用软件</t>
  </si>
  <si>
    <t>医药医疗-生物制品</t>
  </si>
  <si>
    <t>疫苗</t>
  </si>
  <si>
    <t>工业控制设备</t>
  </si>
  <si>
    <t>传媒-影视院线</t>
  </si>
  <si>
    <t>影视制作</t>
  </si>
  <si>
    <t>电力设备-光伏设备</t>
  </si>
  <si>
    <t>光伏逆变器</t>
  </si>
  <si>
    <t>网络接配及塔设</t>
  </si>
  <si>
    <t>光伏加工设备</t>
  </si>
  <si>
    <t>被动元件</t>
  </si>
  <si>
    <t>传媒-数字媒体</t>
  </si>
  <si>
    <t>视频音频媒体</t>
  </si>
  <si>
    <t>计算机-云服务</t>
  </si>
  <si>
    <t>云基础设施服务</t>
  </si>
  <si>
    <t>锂电设备</t>
  </si>
  <si>
    <t>通信终端及配件</t>
  </si>
  <si>
    <t>福建</t>
  </si>
  <si>
    <t>医药医疗-医疗器械</t>
  </si>
  <si>
    <t>医疗设备</t>
  </si>
  <si>
    <t>诊断试剂</t>
  </si>
  <si>
    <t>品牌消费电子</t>
  </si>
  <si>
    <t>医药医疗-医疗美容</t>
  </si>
  <si>
    <t>医美耗材</t>
  </si>
  <si>
    <t>农林牧渔-农产品加工</t>
  </si>
  <si>
    <t>粮油加工</t>
  </si>
  <si>
    <t>交通运输-航空机场</t>
  </si>
  <si>
    <t>机场</t>
  </si>
  <si>
    <t>钢铁-普钢</t>
  </si>
  <si>
    <t>板材</t>
  </si>
  <si>
    <t>火力发电</t>
  </si>
  <si>
    <t>交通运输-航运港口</t>
  </si>
  <si>
    <t>港口</t>
  </si>
  <si>
    <t>水力发电</t>
  </si>
  <si>
    <t>航运</t>
  </si>
  <si>
    <t>石油-石油化工</t>
  </si>
  <si>
    <t>炼油化工</t>
  </si>
  <si>
    <t>航空运输</t>
  </si>
  <si>
    <t>建筑-基础建设</t>
  </si>
  <si>
    <t>基建工程</t>
  </si>
  <si>
    <t>通信-电信服务</t>
  </si>
  <si>
    <t>电信运营服务</t>
  </si>
  <si>
    <t>汽车-商用车</t>
  </si>
  <si>
    <t>商用载客车</t>
  </si>
  <si>
    <t>稀土</t>
  </si>
  <si>
    <t>国防军工-航天装备</t>
  </si>
  <si>
    <t>航天装备</t>
  </si>
  <si>
    <t>国防军工-航海装备</t>
  </si>
  <si>
    <t>航海装备</t>
  </si>
  <si>
    <t>氟化工</t>
  </si>
  <si>
    <t>建材-玻璃玻纤</t>
  </si>
  <si>
    <t>玻纤制造</t>
  </si>
  <si>
    <t>煤炭-煤炭开采</t>
  </si>
  <si>
    <t>动力煤</t>
  </si>
  <si>
    <t>辽宁</t>
  </si>
  <si>
    <t>聚氨酯</t>
  </si>
  <si>
    <t>电网自动化</t>
  </si>
  <si>
    <t>商贸-商业物业经营</t>
  </si>
  <si>
    <t>商业物业经营</t>
  </si>
  <si>
    <t>煤化工</t>
  </si>
  <si>
    <t>光伏硅料</t>
  </si>
  <si>
    <t>功率半导体</t>
  </si>
  <si>
    <t>贵州</t>
  </si>
  <si>
    <t>光纤光缆</t>
  </si>
  <si>
    <t>半导体封测</t>
  </si>
  <si>
    <t>建材-水泥</t>
  </si>
  <si>
    <t>水泥制造</t>
  </si>
  <si>
    <t>云软件服务</t>
  </si>
  <si>
    <t>啤酒</t>
  </si>
  <si>
    <t>车身附件及饰件</t>
  </si>
  <si>
    <t>冰洗</t>
  </si>
  <si>
    <t>公用事业-燃气</t>
  </si>
  <si>
    <t>燃气</t>
  </si>
  <si>
    <t>山西</t>
  </si>
  <si>
    <t>电力设备-其他发电设备</t>
  </si>
  <si>
    <t>其他发电设备</t>
  </si>
  <si>
    <t>食品饮料-饮料乳品</t>
  </si>
  <si>
    <t>乳制品</t>
  </si>
  <si>
    <t>风力发电</t>
  </si>
  <si>
    <t>石油-油气开采</t>
  </si>
  <si>
    <t>油气开采</t>
  </si>
  <si>
    <t>宁夏</t>
  </si>
  <si>
    <t>铁路运输</t>
  </si>
  <si>
    <t>光伏电池组件</t>
  </si>
  <si>
    <t>轮胎轮毂</t>
  </si>
  <si>
    <t>农商行</t>
  </si>
  <si>
    <t>工程机械零件</t>
  </si>
  <si>
    <t>建筑-专业工程</t>
  </si>
  <si>
    <t>化学工程</t>
  </si>
  <si>
    <t>国有大型银行</t>
  </si>
  <si>
    <t>非银金融-保险</t>
  </si>
  <si>
    <t>保险</t>
  </si>
  <si>
    <t>基础软件</t>
  </si>
  <si>
    <t>医药医疗-医药商业</t>
  </si>
  <si>
    <t>医药流通</t>
  </si>
  <si>
    <t>其他专业工程</t>
  </si>
  <si>
    <t>建筑-房屋建设</t>
  </si>
  <si>
    <t>房屋建设</t>
  </si>
  <si>
    <t>机械设备-轨交设备</t>
  </si>
  <si>
    <t>轨交设备</t>
  </si>
  <si>
    <t>配电设备</t>
  </si>
  <si>
    <t>社会服务-旅游</t>
  </si>
  <si>
    <t>旅游服务</t>
  </si>
  <si>
    <t>医疗研发外包</t>
  </si>
  <si>
    <t>有机硅</t>
  </si>
  <si>
    <t>食品饮料-调味品</t>
  </si>
  <si>
    <t>调味品</t>
  </si>
  <si>
    <t>钴</t>
  </si>
  <si>
    <t>软饮料</t>
  </si>
  <si>
    <t>半导体材料</t>
  </si>
  <si>
    <t>半导体制造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</si>
</sst>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H6" sqref="H6"/>
    </sheetView>
  </sheetViews>
  <sheetFormatPr defaultRowHeight="14.25" x14ac:dyDescent="0.2"/>
  <sheetData>
    <row r="1" spans="1:5" x14ac:dyDescent="0.2">
      <c r="A1" s="1" t="s">
        <v>0</v>
      </c>
      <c r="B1" s="1" t="s">
        <v>1</v>
      </c>
      <c r="C1" s="1" t="s">
        <v>302</v>
      </c>
      <c r="D1" s="1" t="s">
        <v>303</v>
      </c>
      <c r="E1" s="1" t="s">
        <v>304</v>
      </c>
    </row>
    <row r="2" spans="1:5" x14ac:dyDescent="0.2">
      <c r="A2" s="1" t="str">
        <f>"000001"</f>
        <v>000001</v>
      </c>
      <c r="B2" s="1" t="s">
        <v>2</v>
      </c>
      <c r="C2" s="1" t="s">
        <v>305</v>
      </c>
      <c r="D2" s="1" t="s">
        <v>306</v>
      </c>
      <c r="E2" s="1" t="s">
        <v>307</v>
      </c>
    </row>
    <row r="3" spans="1:5" x14ac:dyDescent="0.2">
      <c r="A3" s="1" t="str">
        <f>"000002"</f>
        <v>000002</v>
      </c>
      <c r="B3" s="1" t="s">
        <v>3</v>
      </c>
      <c r="C3" s="1" t="s">
        <v>308</v>
      </c>
      <c r="D3" s="1" t="s">
        <v>309</v>
      </c>
      <c r="E3" s="1" t="s">
        <v>307</v>
      </c>
    </row>
    <row r="4" spans="1:5" x14ac:dyDescent="0.2">
      <c r="A4" s="1" t="str">
        <f>"000063"</f>
        <v>000063</v>
      </c>
      <c r="B4" s="1" t="s">
        <v>4</v>
      </c>
      <c r="C4" s="1" t="s">
        <v>310</v>
      </c>
      <c r="D4" s="1" t="s">
        <v>311</v>
      </c>
      <c r="E4" s="1" t="s">
        <v>307</v>
      </c>
    </row>
    <row r="5" spans="1:5" x14ac:dyDescent="0.2">
      <c r="A5" s="1" t="str">
        <f>"000100"</f>
        <v>000100</v>
      </c>
      <c r="B5" s="1" t="s">
        <v>5</v>
      </c>
      <c r="C5" s="1" t="s">
        <v>312</v>
      </c>
      <c r="D5" s="1" t="s">
        <v>313</v>
      </c>
      <c r="E5" s="1" t="s">
        <v>314</v>
      </c>
    </row>
    <row r="6" spans="1:5" x14ac:dyDescent="0.2">
      <c r="A6" s="1" t="str">
        <f>"000157"</f>
        <v>000157</v>
      </c>
      <c r="B6" s="1" t="s">
        <v>6</v>
      </c>
      <c r="C6" s="1" t="s">
        <v>315</v>
      </c>
      <c r="D6" s="1" t="s">
        <v>316</v>
      </c>
      <c r="E6" s="1" t="s">
        <v>317</v>
      </c>
    </row>
    <row r="7" spans="1:5" x14ac:dyDescent="0.2">
      <c r="A7" s="1" t="str">
        <f>"000166"</f>
        <v>000166</v>
      </c>
      <c r="B7" s="1" t="s">
        <v>7</v>
      </c>
      <c r="C7" s="1" t="s">
        <v>318</v>
      </c>
      <c r="D7" s="1" t="s">
        <v>319</v>
      </c>
      <c r="E7" s="1" t="s">
        <v>320</v>
      </c>
    </row>
    <row r="8" spans="1:5" x14ac:dyDescent="0.2">
      <c r="A8" s="1" t="str">
        <f>"000301"</f>
        <v>000301</v>
      </c>
      <c r="B8" s="1" t="s">
        <v>8</v>
      </c>
      <c r="C8" s="1" t="s">
        <v>321</v>
      </c>
      <c r="D8" s="1" t="s">
        <v>322</v>
      </c>
      <c r="E8" s="1" t="s">
        <v>323</v>
      </c>
    </row>
    <row r="9" spans="1:5" x14ac:dyDescent="0.2">
      <c r="A9" s="1" t="str">
        <f>"000333"</f>
        <v>000333</v>
      </c>
      <c r="B9" s="1" t="s">
        <v>9</v>
      </c>
      <c r="C9" s="1" t="s">
        <v>324</v>
      </c>
      <c r="D9" s="1" t="s">
        <v>325</v>
      </c>
      <c r="E9" s="1" t="s">
        <v>314</v>
      </c>
    </row>
    <row r="10" spans="1:5" x14ac:dyDescent="0.2">
      <c r="A10" s="1" t="str">
        <f>"000338"</f>
        <v>000338</v>
      </c>
      <c r="B10" s="1" t="s">
        <v>10</v>
      </c>
      <c r="C10" s="1" t="s">
        <v>326</v>
      </c>
      <c r="D10" s="1" t="s">
        <v>327</v>
      </c>
      <c r="E10" s="1" t="s">
        <v>328</v>
      </c>
    </row>
    <row r="11" spans="1:5" x14ac:dyDescent="0.2">
      <c r="A11" s="1" t="str">
        <f>"000408"</f>
        <v>000408</v>
      </c>
      <c r="B11" s="1" t="s">
        <v>11</v>
      </c>
      <c r="C11" s="1" t="s">
        <v>329</v>
      </c>
      <c r="D11" s="1" t="s">
        <v>330</v>
      </c>
      <c r="E11" s="1" t="s">
        <v>331</v>
      </c>
    </row>
    <row r="12" spans="1:5" x14ac:dyDescent="0.2">
      <c r="A12" s="1" t="str">
        <f>"000425"</f>
        <v>000425</v>
      </c>
      <c r="B12" s="1" t="s">
        <v>12</v>
      </c>
      <c r="C12" s="1" t="s">
        <v>315</v>
      </c>
      <c r="D12" s="1" t="s">
        <v>316</v>
      </c>
      <c r="E12" s="1" t="s">
        <v>323</v>
      </c>
    </row>
    <row r="13" spans="1:5" x14ac:dyDescent="0.2">
      <c r="A13" s="1" t="str">
        <f>"000538"</f>
        <v>000538</v>
      </c>
      <c r="B13" s="1" t="s">
        <v>13</v>
      </c>
      <c r="C13" s="1" t="s">
        <v>332</v>
      </c>
      <c r="D13" s="1" t="s">
        <v>333</v>
      </c>
      <c r="E13" s="1" t="s">
        <v>334</v>
      </c>
    </row>
    <row r="14" spans="1:5" x14ac:dyDescent="0.2">
      <c r="A14" s="1" t="str">
        <f>"000568"</f>
        <v>000568</v>
      </c>
      <c r="B14" s="1" t="s">
        <v>14</v>
      </c>
      <c r="C14" s="1" t="s">
        <v>335</v>
      </c>
      <c r="D14" s="1" t="s">
        <v>336</v>
      </c>
      <c r="E14" s="1" t="s">
        <v>337</v>
      </c>
    </row>
    <row r="15" spans="1:5" x14ac:dyDescent="0.2">
      <c r="A15" s="1" t="str">
        <f>"000596"</f>
        <v>000596</v>
      </c>
      <c r="B15" s="1" t="s">
        <v>15</v>
      </c>
      <c r="C15" s="1" t="s">
        <v>335</v>
      </c>
      <c r="D15" s="1" t="s">
        <v>336</v>
      </c>
      <c r="E15" s="1" t="s">
        <v>338</v>
      </c>
    </row>
    <row r="16" spans="1:5" x14ac:dyDescent="0.2">
      <c r="A16" s="1" t="str">
        <f>"000617"</f>
        <v>000617</v>
      </c>
      <c r="B16" s="1" t="s">
        <v>16</v>
      </c>
      <c r="C16" s="1" t="s">
        <v>339</v>
      </c>
      <c r="D16" s="1" t="s">
        <v>340</v>
      </c>
      <c r="E16" s="1" t="s">
        <v>320</v>
      </c>
    </row>
    <row r="17" spans="1:5" x14ac:dyDescent="0.2">
      <c r="A17" s="1" t="str">
        <f>"000625"</f>
        <v>000625</v>
      </c>
      <c r="B17" s="1" t="s">
        <v>17</v>
      </c>
      <c r="C17" s="1" t="s">
        <v>341</v>
      </c>
      <c r="D17" s="1" t="s">
        <v>342</v>
      </c>
      <c r="E17" s="1" t="s">
        <v>343</v>
      </c>
    </row>
    <row r="18" spans="1:5" x14ac:dyDescent="0.2">
      <c r="A18" s="1" t="str">
        <f>"000630"</f>
        <v>000630</v>
      </c>
      <c r="B18" s="1" t="s">
        <v>18</v>
      </c>
      <c r="C18" s="1" t="s">
        <v>344</v>
      </c>
      <c r="D18" s="1" t="s">
        <v>345</v>
      </c>
      <c r="E18" s="1" t="s">
        <v>338</v>
      </c>
    </row>
    <row r="19" spans="1:5" x14ac:dyDescent="0.2">
      <c r="A19" s="1" t="str">
        <f>"000651"</f>
        <v>000651</v>
      </c>
      <c r="B19" s="1" t="s">
        <v>19</v>
      </c>
      <c r="C19" s="1" t="s">
        <v>324</v>
      </c>
      <c r="D19" s="1" t="s">
        <v>325</v>
      </c>
      <c r="E19" s="1" t="s">
        <v>314</v>
      </c>
    </row>
    <row r="20" spans="1:5" x14ac:dyDescent="0.2">
      <c r="A20" s="1" t="str">
        <f>"000657"</f>
        <v>000657</v>
      </c>
      <c r="B20" s="1" t="s">
        <v>20</v>
      </c>
      <c r="C20" s="1" t="s">
        <v>346</v>
      </c>
      <c r="D20" s="1" t="s">
        <v>347</v>
      </c>
      <c r="E20" s="1" t="s">
        <v>348</v>
      </c>
    </row>
    <row r="21" spans="1:5" x14ac:dyDescent="0.2">
      <c r="A21" s="1" t="str">
        <f>"000708"</f>
        <v>000708</v>
      </c>
      <c r="B21" s="1" t="s">
        <v>21</v>
      </c>
      <c r="C21" s="1" t="s">
        <v>349</v>
      </c>
      <c r="D21" s="1" t="s">
        <v>350</v>
      </c>
      <c r="E21" s="1" t="s">
        <v>351</v>
      </c>
    </row>
    <row r="22" spans="1:5" x14ac:dyDescent="0.2">
      <c r="A22" s="1" t="str">
        <f>"000725"</f>
        <v>000725</v>
      </c>
      <c r="B22" s="1" t="s">
        <v>22</v>
      </c>
      <c r="C22" s="1" t="s">
        <v>312</v>
      </c>
      <c r="D22" s="1" t="s">
        <v>313</v>
      </c>
      <c r="E22" s="1" t="s">
        <v>352</v>
      </c>
    </row>
    <row r="23" spans="1:5" x14ac:dyDescent="0.2">
      <c r="A23" s="1" t="str">
        <f>"000768"</f>
        <v>000768</v>
      </c>
      <c r="B23" s="1" t="s">
        <v>23</v>
      </c>
      <c r="C23" s="1" t="s">
        <v>353</v>
      </c>
      <c r="D23" s="1" t="s">
        <v>354</v>
      </c>
      <c r="E23" s="1" t="s">
        <v>355</v>
      </c>
    </row>
    <row r="24" spans="1:5" x14ac:dyDescent="0.2">
      <c r="A24" s="1" t="str">
        <f>"000776"</f>
        <v>000776</v>
      </c>
      <c r="B24" s="1" t="s">
        <v>24</v>
      </c>
      <c r="C24" s="1" t="s">
        <v>318</v>
      </c>
      <c r="D24" s="1" t="s">
        <v>319</v>
      </c>
      <c r="E24" s="1" t="s">
        <v>314</v>
      </c>
    </row>
    <row r="25" spans="1:5" x14ac:dyDescent="0.2">
      <c r="A25" s="1" t="str">
        <f>"000792"</f>
        <v>000792</v>
      </c>
      <c r="B25" s="1" t="s">
        <v>25</v>
      </c>
      <c r="C25" s="1" t="s">
        <v>329</v>
      </c>
      <c r="D25" s="1" t="s">
        <v>330</v>
      </c>
      <c r="E25" s="1" t="s">
        <v>331</v>
      </c>
    </row>
    <row r="26" spans="1:5" x14ac:dyDescent="0.2">
      <c r="A26" s="1" t="str">
        <f>"000807"</f>
        <v>000807</v>
      </c>
      <c r="B26" s="1" t="s">
        <v>26</v>
      </c>
      <c r="C26" s="1" t="s">
        <v>344</v>
      </c>
      <c r="D26" s="1" t="s">
        <v>356</v>
      </c>
      <c r="E26" s="1" t="s">
        <v>334</v>
      </c>
    </row>
    <row r="27" spans="1:5" x14ac:dyDescent="0.2">
      <c r="A27" s="1" t="str">
        <f>"000858"</f>
        <v>000858</v>
      </c>
      <c r="B27" s="1" t="s">
        <v>27</v>
      </c>
      <c r="C27" s="1" t="s">
        <v>335</v>
      </c>
      <c r="D27" s="1" t="s">
        <v>336</v>
      </c>
      <c r="E27" s="1" t="s">
        <v>337</v>
      </c>
    </row>
    <row r="28" spans="1:5" x14ac:dyDescent="0.2">
      <c r="A28" s="1" t="str">
        <f>"000895"</f>
        <v>000895</v>
      </c>
      <c r="B28" s="1" t="s">
        <v>28</v>
      </c>
      <c r="C28" s="1" t="s">
        <v>357</v>
      </c>
      <c r="D28" s="1" t="s">
        <v>358</v>
      </c>
      <c r="E28" s="1" t="s">
        <v>359</v>
      </c>
    </row>
    <row r="29" spans="1:5" x14ac:dyDescent="0.2">
      <c r="A29" s="1" t="str">
        <f>"000938"</f>
        <v>000938</v>
      </c>
      <c r="B29" s="1" t="s">
        <v>29</v>
      </c>
      <c r="C29" s="1" t="s">
        <v>360</v>
      </c>
      <c r="D29" s="1" t="s">
        <v>361</v>
      </c>
      <c r="E29" s="1" t="s">
        <v>352</v>
      </c>
    </row>
    <row r="30" spans="1:5" x14ac:dyDescent="0.2">
      <c r="A30" s="1" t="str">
        <f>"000963"</f>
        <v>000963</v>
      </c>
      <c r="B30" s="1" t="s">
        <v>30</v>
      </c>
      <c r="C30" s="1" t="s">
        <v>362</v>
      </c>
      <c r="D30" s="1" t="s">
        <v>363</v>
      </c>
      <c r="E30" s="1" t="s">
        <v>364</v>
      </c>
    </row>
    <row r="31" spans="1:5" x14ac:dyDescent="0.2">
      <c r="A31" s="1" t="str">
        <f>"000975"</f>
        <v>000975</v>
      </c>
      <c r="B31" s="1" t="s">
        <v>31</v>
      </c>
      <c r="C31" s="1" t="s">
        <v>365</v>
      </c>
      <c r="D31" s="1" t="s">
        <v>366</v>
      </c>
      <c r="E31" s="1" t="s">
        <v>367</v>
      </c>
    </row>
    <row r="32" spans="1:5" x14ac:dyDescent="0.2">
      <c r="A32" s="1" t="str">
        <f>"000977"</f>
        <v>000977</v>
      </c>
      <c r="B32" s="1" t="s">
        <v>32</v>
      </c>
      <c r="C32" s="1" t="s">
        <v>360</v>
      </c>
      <c r="D32" s="1" t="s">
        <v>361</v>
      </c>
      <c r="E32" s="1" t="s">
        <v>328</v>
      </c>
    </row>
    <row r="33" spans="1:5" x14ac:dyDescent="0.2">
      <c r="A33" s="1" t="str">
        <f>"000988"</f>
        <v>000988</v>
      </c>
      <c r="B33" s="1" t="s">
        <v>33</v>
      </c>
      <c r="C33" s="1" t="s">
        <v>368</v>
      </c>
      <c r="D33" s="1" t="s">
        <v>369</v>
      </c>
      <c r="E33" s="1" t="s">
        <v>351</v>
      </c>
    </row>
    <row r="34" spans="1:5" x14ac:dyDescent="0.2">
      <c r="A34" s="1" t="str">
        <f>"000999"</f>
        <v>000999</v>
      </c>
      <c r="B34" s="1" t="s">
        <v>34</v>
      </c>
      <c r="C34" s="1" t="s">
        <v>332</v>
      </c>
      <c r="D34" s="1" t="s">
        <v>333</v>
      </c>
      <c r="E34" s="1" t="s">
        <v>307</v>
      </c>
    </row>
    <row r="35" spans="1:5" x14ac:dyDescent="0.2">
      <c r="A35" s="1" t="str">
        <f>"001280"</f>
        <v>001280</v>
      </c>
      <c r="B35" s="1" t="s">
        <v>35</v>
      </c>
      <c r="C35" s="1" t="s">
        <v>346</v>
      </c>
      <c r="D35" s="1" t="s">
        <v>370</v>
      </c>
      <c r="E35" s="1" t="s">
        <v>352</v>
      </c>
    </row>
    <row r="36" spans="1:5" x14ac:dyDescent="0.2">
      <c r="A36" s="1" t="str">
        <f>"001391"</f>
        <v>001391</v>
      </c>
      <c r="B36" s="1" t="s">
        <v>36</v>
      </c>
      <c r="C36" s="1" t="s">
        <v>371</v>
      </c>
      <c r="D36" s="1" t="s">
        <v>372</v>
      </c>
      <c r="E36" s="1" t="s">
        <v>352</v>
      </c>
    </row>
    <row r="37" spans="1:5" x14ac:dyDescent="0.2">
      <c r="A37" s="1" t="str">
        <f>"001965"</f>
        <v>001965</v>
      </c>
      <c r="B37" s="1" t="s">
        <v>37</v>
      </c>
      <c r="C37" s="1" t="s">
        <v>373</v>
      </c>
      <c r="D37" s="1" t="s">
        <v>374</v>
      </c>
      <c r="E37" s="1" t="s">
        <v>375</v>
      </c>
    </row>
    <row r="38" spans="1:5" x14ac:dyDescent="0.2">
      <c r="A38" s="1" t="str">
        <f>"001979"</f>
        <v>001979</v>
      </c>
      <c r="B38" s="1" t="s">
        <v>38</v>
      </c>
      <c r="C38" s="1" t="s">
        <v>308</v>
      </c>
      <c r="D38" s="1" t="s">
        <v>309</v>
      </c>
      <c r="E38" s="1" t="s">
        <v>307</v>
      </c>
    </row>
    <row r="39" spans="1:5" x14ac:dyDescent="0.2">
      <c r="A39" s="1" t="str">
        <f>"002001"</f>
        <v>002001</v>
      </c>
      <c r="B39" s="1" t="s">
        <v>39</v>
      </c>
      <c r="C39" s="1" t="s">
        <v>376</v>
      </c>
      <c r="D39" s="1" t="s">
        <v>377</v>
      </c>
      <c r="E39" s="1" t="s">
        <v>364</v>
      </c>
    </row>
    <row r="40" spans="1:5" x14ac:dyDescent="0.2">
      <c r="A40" s="1" t="str">
        <f>"002027"</f>
        <v>002027</v>
      </c>
      <c r="B40" s="1" t="s">
        <v>40</v>
      </c>
      <c r="C40" s="1" t="s">
        <v>378</v>
      </c>
      <c r="D40" s="1" t="s">
        <v>379</v>
      </c>
      <c r="E40" s="1" t="s">
        <v>380</v>
      </c>
    </row>
    <row r="41" spans="1:5" x14ac:dyDescent="0.2">
      <c r="A41" s="1" t="str">
        <f>"002028"</f>
        <v>002028</v>
      </c>
      <c r="B41" s="1" t="s">
        <v>41</v>
      </c>
      <c r="C41" s="1" t="s">
        <v>381</v>
      </c>
      <c r="D41" s="1" t="s">
        <v>382</v>
      </c>
      <c r="E41" s="1" t="s">
        <v>380</v>
      </c>
    </row>
    <row r="42" spans="1:5" x14ac:dyDescent="0.2">
      <c r="A42" s="1" t="str">
        <f>"002049"</f>
        <v>002049</v>
      </c>
      <c r="B42" s="1" t="s">
        <v>42</v>
      </c>
      <c r="C42" s="1" t="s">
        <v>383</v>
      </c>
      <c r="D42" s="1" t="s">
        <v>384</v>
      </c>
      <c r="E42" s="1" t="s">
        <v>385</v>
      </c>
    </row>
    <row r="43" spans="1:5" x14ac:dyDescent="0.2">
      <c r="A43" s="1" t="str">
        <f>"002050"</f>
        <v>002050</v>
      </c>
      <c r="B43" s="1" t="s">
        <v>43</v>
      </c>
      <c r="C43" s="1" t="s">
        <v>386</v>
      </c>
      <c r="D43" s="1" t="s">
        <v>387</v>
      </c>
      <c r="E43" s="1" t="s">
        <v>364</v>
      </c>
    </row>
    <row r="44" spans="1:5" x14ac:dyDescent="0.2">
      <c r="A44" s="1" t="str">
        <f>"002074"</f>
        <v>002074</v>
      </c>
      <c r="B44" s="1" t="s">
        <v>44</v>
      </c>
      <c r="C44" s="1" t="s">
        <v>388</v>
      </c>
      <c r="D44" s="1" t="s">
        <v>389</v>
      </c>
      <c r="E44" s="1" t="s">
        <v>338</v>
      </c>
    </row>
    <row r="45" spans="1:5" x14ac:dyDescent="0.2">
      <c r="A45" s="1" t="str">
        <f>"002142"</f>
        <v>002142</v>
      </c>
      <c r="B45" s="1" t="s">
        <v>45</v>
      </c>
      <c r="C45" s="1" t="s">
        <v>390</v>
      </c>
      <c r="D45" s="1" t="s">
        <v>391</v>
      </c>
      <c r="E45" s="1" t="s">
        <v>364</v>
      </c>
    </row>
    <row r="46" spans="1:5" x14ac:dyDescent="0.2">
      <c r="A46" s="1" t="str">
        <f>"002179"</f>
        <v>002179</v>
      </c>
      <c r="B46" s="1" t="s">
        <v>46</v>
      </c>
      <c r="C46" s="1" t="s">
        <v>392</v>
      </c>
      <c r="D46" s="1" t="s">
        <v>393</v>
      </c>
      <c r="E46" s="1" t="s">
        <v>359</v>
      </c>
    </row>
    <row r="47" spans="1:5" x14ac:dyDescent="0.2">
      <c r="A47" s="1" t="str">
        <f>"002202"</f>
        <v>002202</v>
      </c>
      <c r="B47" s="1" t="s">
        <v>47</v>
      </c>
      <c r="C47" s="1" t="s">
        <v>394</v>
      </c>
      <c r="D47" s="1" t="s">
        <v>395</v>
      </c>
      <c r="E47" s="1" t="s">
        <v>320</v>
      </c>
    </row>
    <row r="48" spans="1:5" x14ac:dyDescent="0.2">
      <c r="A48" s="1" t="str">
        <f>"002230"</f>
        <v>002230</v>
      </c>
      <c r="B48" s="1" t="s">
        <v>48</v>
      </c>
      <c r="C48" s="1" t="s">
        <v>396</v>
      </c>
      <c r="D48" s="1" t="s">
        <v>397</v>
      </c>
      <c r="E48" s="1" t="s">
        <v>338</v>
      </c>
    </row>
    <row r="49" spans="1:5" x14ac:dyDescent="0.2">
      <c r="A49" s="1" t="str">
        <f>"002236"</f>
        <v>002236</v>
      </c>
      <c r="B49" s="1" t="s">
        <v>49</v>
      </c>
      <c r="C49" s="1" t="s">
        <v>360</v>
      </c>
      <c r="D49" s="1" t="s">
        <v>398</v>
      </c>
      <c r="E49" s="1" t="s">
        <v>364</v>
      </c>
    </row>
    <row r="50" spans="1:5" x14ac:dyDescent="0.2">
      <c r="A50" s="1" t="str">
        <f>"002241"</f>
        <v>002241</v>
      </c>
      <c r="B50" s="1" t="s">
        <v>50</v>
      </c>
      <c r="C50" s="1" t="s">
        <v>399</v>
      </c>
      <c r="D50" s="1" t="s">
        <v>400</v>
      </c>
      <c r="E50" s="1" t="s">
        <v>328</v>
      </c>
    </row>
    <row r="51" spans="1:5" x14ac:dyDescent="0.2">
      <c r="A51" s="1" t="str">
        <f>"002304"</f>
        <v>002304</v>
      </c>
      <c r="B51" s="1" t="s">
        <v>51</v>
      </c>
      <c r="C51" s="1" t="s">
        <v>335</v>
      </c>
      <c r="D51" s="1" t="s">
        <v>336</v>
      </c>
      <c r="E51" s="1" t="s">
        <v>323</v>
      </c>
    </row>
    <row r="52" spans="1:5" x14ac:dyDescent="0.2">
      <c r="A52" s="1" t="str">
        <f>"002311"</f>
        <v>002311</v>
      </c>
      <c r="B52" s="1" t="s">
        <v>52</v>
      </c>
      <c r="C52" s="1" t="s">
        <v>401</v>
      </c>
      <c r="D52" s="1" t="s">
        <v>402</v>
      </c>
      <c r="E52" s="1" t="s">
        <v>314</v>
      </c>
    </row>
    <row r="53" spans="1:5" x14ac:dyDescent="0.2">
      <c r="A53" s="1" t="str">
        <f>"002352"</f>
        <v>002352</v>
      </c>
      <c r="B53" s="1" t="s">
        <v>53</v>
      </c>
      <c r="C53" s="1" t="s">
        <v>371</v>
      </c>
      <c r="D53" s="1" t="s">
        <v>403</v>
      </c>
      <c r="E53" s="1" t="s">
        <v>307</v>
      </c>
    </row>
    <row r="54" spans="1:5" x14ac:dyDescent="0.2">
      <c r="A54" s="1" t="str">
        <f>"002353"</f>
        <v>002353</v>
      </c>
      <c r="B54" s="1" t="s">
        <v>54</v>
      </c>
      <c r="C54" s="1" t="s">
        <v>404</v>
      </c>
      <c r="D54" s="1" t="s">
        <v>405</v>
      </c>
      <c r="E54" s="1" t="s">
        <v>328</v>
      </c>
    </row>
    <row r="55" spans="1:5" x14ac:dyDescent="0.2">
      <c r="A55" s="1" t="str">
        <f>"002371"</f>
        <v>002371</v>
      </c>
      <c r="B55" s="1" t="s">
        <v>55</v>
      </c>
      <c r="C55" s="1" t="s">
        <v>383</v>
      </c>
      <c r="D55" s="1" t="s">
        <v>406</v>
      </c>
      <c r="E55" s="1" t="s">
        <v>352</v>
      </c>
    </row>
    <row r="56" spans="1:5" x14ac:dyDescent="0.2">
      <c r="A56" s="1" t="str">
        <f>"002384"</f>
        <v>002384</v>
      </c>
      <c r="B56" s="1" t="s">
        <v>56</v>
      </c>
      <c r="C56" s="1" t="s">
        <v>407</v>
      </c>
      <c r="D56" s="1" t="s">
        <v>408</v>
      </c>
      <c r="E56" s="1" t="s">
        <v>323</v>
      </c>
    </row>
    <row r="57" spans="1:5" x14ac:dyDescent="0.2">
      <c r="A57" s="1" t="str">
        <f>"002415"</f>
        <v>002415</v>
      </c>
      <c r="B57" s="1" t="s">
        <v>57</v>
      </c>
      <c r="C57" s="1" t="s">
        <v>360</v>
      </c>
      <c r="D57" s="1" t="s">
        <v>398</v>
      </c>
      <c r="E57" s="1" t="s">
        <v>364</v>
      </c>
    </row>
    <row r="58" spans="1:5" x14ac:dyDescent="0.2">
      <c r="A58" s="1" t="str">
        <f>"002422"</f>
        <v>002422</v>
      </c>
      <c r="B58" s="1" t="s">
        <v>58</v>
      </c>
      <c r="C58" s="1" t="s">
        <v>362</v>
      </c>
      <c r="D58" s="1" t="s">
        <v>363</v>
      </c>
      <c r="E58" s="1" t="s">
        <v>337</v>
      </c>
    </row>
    <row r="59" spans="1:5" x14ac:dyDescent="0.2">
      <c r="A59" s="1" t="str">
        <f>"002460"</f>
        <v>002460</v>
      </c>
      <c r="B59" s="1" t="s">
        <v>59</v>
      </c>
      <c r="C59" s="1" t="s">
        <v>409</v>
      </c>
      <c r="D59" s="1" t="s">
        <v>410</v>
      </c>
      <c r="E59" s="1" t="s">
        <v>411</v>
      </c>
    </row>
    <row r="60" spans="1:5" x14ac:dyDescent="0.2">
      <c r="A60" s="1" t="str">
        <f>"002463"</f>
        <v>002463</v>
      </c>
      <c r="B60" s="1" t="s">
        <v>60</v>
      </c>
      <c r="C60" s="1" t="s">
        <v>407</v>
      </c>
      <c r="D60" s="1" t="s">
        <v>408</v>
      </c>
      <c r="E60" s="1" t="s">
        <v>323</v>
      </c>
    </row>
    <row r="61" spans="1:5" x14ac:dyDescent="0.2">
      <c r="A61" s="1" t="str">
        <f>"002466"</f>
        <v>002466</v>
      </c>
      <c r="B61" s="1" t="s">
        <v>61</v>
      </c>
      <c r="C61" s="1" t="s">
        <v>409</v>
      </c>
      <c r="D61" s="1" t="s">
        <v>410</v>
      </c>
      <c r="E61" s="1" t="s">
        <v>337</v>
      </c>
    </row>
    <row r="62" spans="1:5" x14ac:dyDescent="0.2">
      <c r="A62" s="1" t="str">
        <f>"002475"</f>
        <v>002475</v>
      </c>
      <c r="B62" s="1" t="s">
        <v>62</v>
      </c>
      <c r="C62" s="1" t="s">
        <v>399</v>
      </c>
      <c r="D62" s="1" t="s">
        <v>400</v>
      </c>
      <c r="E62" s="1" t="s">
        <v>307</v>
      </c>
    </row>
    <row r="63" spans="1:5" x14ac:dyDescent="0.2">
      <c r="A63" s="1" t="str">
        <f>"002493"</f>
        <v>002493</v>
      </c>
      <c r="B63" s="1" t="s">
        <v>63</v>
      </c>
      <c r="C63" s="1" t="s">
        <v>321</v>
      </c>
      <c r="D63" s="1" t="s">
        <v>322</v>
      </c>
      <c r="E63" s="1" t="s">
        <v>364</v>
      </c>
    </row>
    <row r="64" spans="1:5" x14ac:dyDescent="0.2">
      <c r="A64" s="1" t="str">
        <f>"002532"</f>
        <v>002532</v>
      </c>
      <c r="B64" s="1" t="s">
        <v>64</v>
      </c>
      <c r="C64" s="1" t="s">
        <v>344</v>
      </c>
      <c r="D64" s="1" t="s">
        <v>356</v>
      </c>
      <c r="E64" s="1" t="s">
        <v>320</v>
      </c>
    </row>
    <row r="65" spans="1:5" x14ac:dyDescent="0.2">
      <c r="A65" s="1" t="str">
        <f>"002558"</f>
        <v>002558</v>
      </c>
      <c r="B65" s="1" t="s">
        <v>65</v>
      </c>
      <c r="C65" s="1" t="s">
        <v>412</v>
      </c>
      <c r="D65" s="1" t="s">
        <v>413</v>
      </c>
      <c r="E65" s="1" t="s">
        <v>343</v>
      </c>
    </row>
    <row r="66" spans="1:5" x14ac:dyDescent="0.2">
      <c r="A66" s="1" t="str">
        <f>"002594"</f>
        <v>002594</v>
      </c>
      <c r="B66" s="1" t="s">
        <v>66</v>
      </c>
      <c r="C66" s="1" t="s">
        <v>341</v>
      </c>
      <c r="D66" s="1" t="s">
        <v>414</v>
      </c>
      <c r="E66" s="1" t="s">
        <v>307</v>
      </c>
    </row>
    <row r="67" spans="1:5" x14ac:dyDescent="0.2">
      <c r="A67" s="1" t="str">
        <f>"002600"</f>
        <v>002600</v>
      </c>
      <c r="B67" s="1" t="s">
        <v>67</v>
      </c>
      <c r="C67" s="1" t="s">
        <v>399</v>
      </c>
      <c r="D67" s="1" t="s">
        <v>400</v>
      </c>
      <c r="E67" s="1" t="s">
        <v>314</v>
      </c>
    </row>
    <row r="68" spans="1:5" x14ac:dyDescent="0.2">
      <c r="A68" s="1" t="str">
        <f>"002602"</f>
        <v>002602</v>
      </c>
      <c r="B68" s="1" t="s">
        <v>68</v>
      </c>
      <c r="C68" s="1" t="s">
        <v>412</v>
      </c>
      <c r="D68" s="1" t="s">
        <v>413</v>
      </c>
      <c r="E68" s="1" t="s">
        <v>364</v>
      </c>
    </row>
    <row r="69" spans="1:5" x14ac:dyDescent="0.2">
      <c r="A69" s="1" t="str">
        <f>"002625"</f>
        <v>002625</v>
      </c>
      <c r="B69" s="1" t="s">
        <v>69</v>
      </c>
      <c r="C69" s="1" t="s">
        <v>353</v>
      </c>
      <c r="D69" s="1" t="s">
        <v>354</v>
      </c>
      <c r="E69" s="1" t="s">
        <v>307</v>
      </c>
    </row>
    <row r="70" spans="1:5" x14ac:dyDescent="0.2">
      <c r="A70" s="1" t="str">
        <f>"002648"</f>
        <v>002648</v>
      </c>
      <c r="B70" s="1" t="s">
        <v>70</v>
      </c>
      <c r="C70" s="1" t="s">
        <v>415</v>
      </c>
      <c r="D70" s="1" t="s">
        <v>416</v>
      </c>
      <c r="E70" s="1" t="s">
        <v>364</v>
      </c>
    </row>
    <row r="71" spans="1:5" x14ac:dyDescent="0.2">
      <c r="A71" s="1" t="str">
        <f>"002709"</f>
        <v>002709</v>
      </c>
      <c r="B71" s="1" t="s">
        <v>71</v>
      </c>
      <c r="C71" s="1" t="s">
        <v>388</v>
      </c>
      <c r="D71" s="1" t="s">
        <v>417</v>
      </c>
      <c r="E71" s="1" t="s">
        <v>314</v>
      </c>
    </row>
    <row r="72" spans="1:5" x14ac:dyDescent="0.2">
      <c r="A72" s="1" t="str">
        <f>"002714"</f>
        <v>002714</v>
      </c>
      <c r="B72" s="1" t="s">
        <v>72</v>
      </c>
      <c r="C72" s="1" t="s">
        <v>418</v>
      </c>
      <c r="D72" s="1" t="s">
        <v>419</v>
      </c>
      <c r="E72" s="1" t="s">
        <v>359</v>
      </c>
    </row>
    <row r="73" spans="1:5" x14ac:dyDescent="0.2">
      <c r="A73" s="1" t="str">
        <f>"002736"</f>
        <v>002736</v>
      </c>
      <c r="B73" s="1" t="s">
        <v>73</v>
      </c>
      <c r="C73" s="1" t="s">
        <v>318</v>
      </c>
      <c r="D73" s="1" t="s">
        <v>319</v>
      </c>
      <c r="E73" s="1" t="s">
        <v>307</v>
      </c>
    </row>
    <row r="74" spans="1:5" x14ac:dyDescent="0.2">
      <c r="A74" s="1" t="str">
        <f>"002837"</f>
        <v>002837</v>
      </c>
      <c r="B74" s="1" t="s">
        <v>74</v>
      </c>
      <c r="C74" s="1" t="s">
        <v>404</v>
      </c>
      <c r="D74" s="1" t="s">
        <v>420</v>
      </c>
      <c r="E74" s="1" t="s">
        <v>307</v>
      </c>
    </row>
    <row r="75" spans="1:5" x14ac:dyDescent="0.2">
      <c r="A75" s="1" t="str">
        <f>"002916"</f>
        <v>002916</v>
      </c>
      <c r="B75" s="1" t="s">
        <v>75</v>
      </c>
      <c r="C75" s="1" t="s">
        <v>407</v>
      </c>
      <c r="D75" s="1" t="s">
        <v>408</v>
      </c>
      <c r="E75" s="1" t="s">
        <v>307</v>
      </c>
    </row>
    <row r="76" spans="1:5" x14ac:dyDescent="0.2">
      <c r="A76" s="1" t="str">
        <f>"002920"</f>
        <v>002920</v>
      </c>
      <c r="B76" s="1" t="s">
        <v>76</v>
      </c>
      <c r="C76" s="1" t="s">
        <v>326</v>
      </c>
      <c r="D76" s="1" t="s">
        <v>421</v>
      </c>
      <c r="E76" s="1" t="s">
        <v>314</v>
      </c>
    </row>
    <row r="77" spans="1:5" x14ac:dyDescent="0.2">
      <c r="A77" s="1" t="str">
        <f>"002938"</f>
        <v>002938</v>
      </c>
      <c r="B77" s="1" t="s">
        <v>77</v>
      </c>
      <c r="C77" s="1" t="s">
        <v>407</v>
      </c>
      <c r="D77" s="1" t="s">
        <v>408</v>
      </c>
      <c r="E77" s="1" t="s">
        <v>307</v>
      </c>
    </row>
    <row r="78" spans="1:5" x14ac:dyDescent="0.2">
      <c r="A78" s="1" t="str">
        <f>"003816"</f>
        <v>003816</v>
      </c>
      <c r="B78" s="1" t="s">
        <v>78</v>
      </c>
      <c r="C78" s="1" t="s">
        <v>422</v>
      </c>
      <c r="D78" s="1" t="s">
        <v>423</v>
      </c>
      <c r="E78" s="1" t="s">
        <v>307</v>
      </c>
    </row>
    <row r="79" spans="1:5" x14ac:dyDescent="0.2">
      <c r="A79" s="1" t="str">
        <f>"300014"</f>
        <v>300014</v>
      </c>
      <c r="B79" s="1" t="s">
        <v>79</v>
      </c>
      <c r="C79" s="1" t="s">
        <v>388</v>
      </c>
      <c r="D79" s="1" t="s">
        <v>389</v>
      </c>
      <c r="E79" s="1" t="s">
        <v>314</v>
      </c>
    </row>
    <row r="80" spans="1:5" x14ac:dyDescent="0.2">
      <c r="A80" s="1" t="str">
        <f>"300015"</f>
        <v>300015</v>
      </c>
      <c r="B80" s="1" t="s">
        <v>80</v>
      </c>
      <c r="C80" s="1" t="s">
        <v>424</v>
      </c>
      <c r="D80" s="1" t="s">
        <v>425</v>
      </c>
      <c r="E80" s="1" t="s">
        <v>317</v>
      </c>
    </row>
    <row r="81" spans="1:5" x14ac:dyDescent="0.2">
      <c r="A81" s="1" t="str">
        <f>"300033"</f>
        <v>300033</v>
      </c>
      <c r="B81" s="1" t="s">
        <v>81</v>
      </c>
      <c r="C81" s="1" t="s">
        <v>396</v>
      </c>
      <c r="D81" s="1" t="s">
        <v>426</v>
      </c>
      <c r="E81" s="1" t="s">
        <v>364</v>
      </c>
    </row>
    <row r="82" spans="1:5" x14ac:dyDescent="0.2">
      <c r="A82" s="1" t="str">
        <f>"300059"</f>
        <v>300059</v>
      </c>
      <c r="B82" s="1" t="s">
        <v>82</v>
      </c>
      <c r="C82" s="1" t="s">
        <v>318</v>
      </c>
      <c r="D82" s="1" t="s">
        <v>319</v>
      </c>
      <c r="E82" s="1" t="s">
        <v>380</v>
      </c>
    </row>
    <row r="83" spans="1:5" x14ac:dyDescent="0.2">
      <c r="A83" s="1" t="str">
        <f>"300122"</f>
        <v>300122</v>
      </c>
      <c r="B83" s="1" t="s">
        <v>83</v>
      </c>
      <c r="C83" s="1" t="s">
        <v>427</v>
      </c>
      <c r="D83" s="1" t="s">
        <v>428</v>
      </c>
      <c r="E83" s="1" t="s">
        <v>343</v>
      </c>
    </row>
    <row r="84" spans="1:5" x14ac:dyDescent="0.2">
      <c r="A84" s="1" t="str">
        <f>"300124"</f>
        <v>300124</v>
      </c>
      <c r="B84" s="1" t="s">
        <v>84</v>
      </c>
      <c r="C84" s="1" t="s">
        <v>368</v>
      </c>
      <c r="D84" s="1" t="s">
        <v>429</v>
      </c>
      <c r="E84" s="1" t="s">
        <v>307</v>
      </c>
    </row>
    <row r="85" spans="1:5" x14ac:dyDescent="0.2">
      <c r="A85" s="1" t="str">
        <f>"300251"</f>
        <v>300251</v>
      </c>
      <c r="B85" s="1" t="s">
        <v>85</v>
      </c>
      <c r="C85" s="1" t="s">
        <v>430</v>
      </c>
      <c r="D85" s="1" t="s">
        <v>431</v>
      </c>
      <c r="E85" s="1" t="s">
        <v>352</v>
      </c>
    </row>
    <row r="86" spans="1:5" x14ac:dyDescent="0.2">
      <c r="A86" s="1" t="str">
        <f>"300274"</f>
        <v>300274</v>
      </c>
      <c r="B86" s="1" t="s">
        <v>86</v>
      </c>
      <c r="C86" s="1" t="s">
        <v>432</v>
      </c>
      <c r="D86" s="1" t="s">
        <v>433</v>
      </c>
      <c r="E86" s="1" t="s">
        <v>338</v>
      </c>
    </row>
    <row r="87" spans="1:5" x14ac:dyDescent="0.2">
      <c r="A87" s="1" t="str">
        <f>"300308"</f>
        <v>300308</v>
      </c>
      <c r="B87" s="1" t="s">
        <v>87</v>
      </c>
      <c r="C87" s="1" t="s">
        <v>310</v>
      </c>
      <c r="D87" s="1" t="s">
        <v>434</v>
      </c>
      <c r="E87" s="1" t="s">
        <v>328</v>
      </c>
    </row>
    <row r="88" spans="1:5" x14ac:dyDescent="0.2">
      <c r="A88" s="1" t="str">
        <f>"300316"</f>
        <v>300316</v>
      </c>
      <c r="B88" s="1" t="s">
        <v>88</v>
      </c>
      <c r="C88" s="1" t="s">
        <v>432</v>
      </c>
      <c r="D88" s="1" t="s">
        <v>435</v>
      </c>
      <c r="E88" s="1" t="s">
        <v>364</v>
      </c>
    </row>
    <row r="89" spans="1:5" x14ac:dyDescent="0.2">
      <c r="A89" s="1" t="str">
        <f>"300394"</f>
        <v>300394</v>
      </c>
      <c r="B89" s="1" t="s">
        <v>89</v>
      </c>
      <c r="C89" s="1" t="s">
        <v>310</v>
      </c>
      <c r="D89" s="1" t="s">
        <v>434</v>
      </c>
      <c r="E89" s="1" t="s">
        <v>323</v>
      </c>
    </row>
    <row r="90" spans="1:5" x14ac:dyDescent="0.2">
      <c r="A90" s="1" t="str">
        <f>"300408"</f>
        <v>300408</v>
      </c>
      <c r="B90" s="1" t="s">
        <v>90</v>
      </c>
      <c r="C90" s="1" t="s">
        <v>407</v>
      </c>
      <c r="D90" s="1" t="s">
        <v>436</v>
      </c>
      <c r="E90" s="1" t="s">
        <v>314</v>
      </c>
    </row>
    <row r="91" spans="1:5" x14ac:dyDescent="0.2">
      <c r="A91" s="1" t="str">
        <f>"300413"</f>
        <v>300413</v>
      </c>
      <c r="B91" s="1" t="s">
        <v>91</v>
      </c>
      <c r="C91" s="1" t="s">
        <v>437</v>
      </c>
      <c r="D91" s="1" t="s">
        <v>438</v>
      </c>
      <c r="E91" s="1" t="s">
        <v>317</v>
      </c>
    </row>
    <row r="92" spans="1:5" x14ac:dyDescent="0.2">
      <c r="A92" s="1" t="str">
        <f>"300418"</f>
        <v>300418</v>
      </c>
      <c r="B92" s="1" t="s">
        <v>92</v>
      </c>
      <c r="C92" s="1" t="s">
        <v>412</v>
      </c>
      <c r="D92" s="1" t="s">
        <v>413</v>
      </c>
      <c r="E92" s="1" t="s">
        <v>352</v>
      </c>
    </row>
    <row r="93" spans="1:5" x14ac:dyDescent="0.2">
      <c r="A93" s="1" t="str">
        <f>"300433"</f>
        <v>300433</v>
      </c>
      <c r="B93" s="1" t="s">
        <v>93</v>
      </c>
      <c r="C93" s="1" t="s">
        <v>399</v>
      </c>
      <c r="D93" s="1" t="s">
        <v>400</v>
      </c>
      <c r="E93" s="1" t="s">
        <v>317</v>
      </c>
    </row>
    <row r="94" spans="1:5" x14ac:dyDescent="0.2">
      <c r="A94" s="1" t="str">
        <f>"300442"</f>
        <v>300442</v>
      </c>
      <c r="B94" s="1" t="s">
        <v>94</v>
      </c>
      <c r="C94" s="1" t="s">
        <v>439</v>
      </c>
      <c r="D94" s="1" t="s">
        <v>440</v>
      </c>
      <c r="E94" s="1" t="s">
        <v>385</v>
      </c>
    </row>
    <row r="95" spans="1:5" x14ac:dyDescent="0.2">
      <c r="A95" s="1" t="str">
        <f>"300450"</f>
        <v>300450</v>
      </c>
      <c r="B95" s="1" t="s">
        <v>95</v>
      </c>
      <c r="C95" s="1" t="s">
        <v>388</v>
      </c>
      <c r="D95" s="1" t="s">
        <v>441</v>
      </c>
      <c r="E95" s="1" t="s">
        <v>323</v>
      </c>
    </row>
    <row r="96" spans="1:5" x14ac:dyDescent="0.2">
      <c r="A96" s="1" t="str">
        <f>"300476"</f>
        <v>300476</v>
      </c>
      <c r="B96" s="1" t="s">
        <v>96</v>
      </c>
      <c r="C96" s="1" t="s">
        <v>407</v>
      </c>
      <c r="D96" s="1" t="s">
        <v>408</v>
      </c>
      <c r="E96" s="1" t="s">
        <v>314</v>
      </c>
    </row>
    <row r="97" spans="1:5" x14ac:dyDescent="0.2">
      <c r="A97" s="1" t="str">
        <f>"300498"</f>
        <v>300498</v>
      </c>
      <c r="B97" s="1" t="s">
        <v>97</v>
      </c>
      <c r="C97" s="1" t="s">
        <v>418</v>
      </c>
      <c r="D97" s="1" t="s">
        <v>419</v>
      </c>
      <c r="E97" s="1" t="s">
        <v>314</v>
      </c>
    </row>
    <row r="98" spans="1:5" x14ac:dyDescent="0.2">
      <c r="A98" s="1" t="str">
        <f>"300502"</f>
        <v>300502</v>
      </c>
      <c r="B98" s="1" t="s">
        <v>98</v>
      </c>
      <c r="C98" s="1" t="s">
        <v>310</v>
      </c>
      <c r="D98" s="1" t="s">
        <v>434</v>
      </c>
      <c r="E98" s="1" t="s">
        <v>337</v>
      </c>
    </row>
    <row r="99" spans="1:5" x14ac:dyDescent="0.2">
      <c r="A99" s="1" t="str">
        <f>"300628"</f>
        <v>300628</v>
      </c>
      <c r="B99" s="1" t="s">
        <v>99</v>
      </c>
      <c r="C99" s="1" t="s">
        <v>310</v>
      </c>
      <c r="D99" s="1" t="s">
        <v>442</v>
      </c>
      <c r="E99" s="1" t="s">
        <v>443</v>
      </c>
    </row>
    <row r="100" spans="1:5" x14ac:dyDescent="0.2">
      <c r="A100" s="1" t="str">
        <f>"300661"</f>
        <v>300661</v>
      </c>
      <c r="B100" s="1" t="s">
        <v>100</v>
      </c>
      <c r="C100" s="1" t="s">
        <v>383</v>
      </c>
      <c r="D100" s="1" t="s">
        <v>384</v>
      </c>
      <c r="E100" s="1" t="s">
        <v>352</v>
      </c>
    </row>
    <row r="101" spans="1:5" x14ac:dyDescent="0.2">
      <c r="A101" s="1" t="str">
        <f>"300750"</f>
        <v>300750</v>
      </c>
      <c r="B101" s="1" t="s">
        <v>101</v>
      </c>
      <c r="C101" s="1" t="s">
        <v>388</v>
      </c>
      <c r="D101" s="1" t="s">
        <v>389</v>
      </c>
      <c r="E101" s="1" t="s">
        <v>443</v>
      </c>
    </row>
    <row r="102" spans="1:5" x14ac:dyDescent="0.2">
      <c r="A102" s="1" t="str">
        <f>"300760"</f>
        <v>300760</v>
      </c>
      <c r="B102" s="1" t="s">
        <v>102</v>
      </c>
      <c r="C102" s="1" t="s">
        <v>444</v>
      </c>
      <c r="D102" s="1" t="s">
        <v>445</v>
      </c>
      <c r="E102" s="1" t="s">
        <v>307</v>
      </c>
    </row>
    <row r="103" spans="1:5" x14ac:dyDescent="0.2">
      <c r="A103" s="1" t="str">
        <f>"300803"</f>
        <v>300803</v>
      </c>
      <c r="B103" s="1" t="s">
        <v>103</v>
      </c>
      <c r="C103" s="1" t="s">
        <v>396</v>
      </c>
      <c r="D103" s="1" t="s">
        <v>426</v>
      </c>
      <c r="E103" s="1" t="s">
        <v>352</v>
      </c>
    </row>
    <row r="104" spans="1:5" x14ac:dyDescent="0.2">
      <c r="A104" s="1" t="str">
        <f>"300832"</f>
        <v>300832</v>
      </c>
      <c r="B104" s="1" t="s">
        <v>104</v>
      </c>
      <c r="C104" s="1" t="s">
        <v>427</v>
      </c>
      <c r="D104" s="1" t="s">
        <v>446</v>
      </c>
      <c r="E104" s="1" t="s">
        <v>307</v>
      </c>
    </row>
    <row r="105" spans="1:5" x14ac:dyDescent="0.2">
      <c r="A105" s="1" t="str">
        <f>"300866"</f>
        <v>300866</v>
      </c>
      <c r="B105" s="1" t="s">
        <v>105</v>
      </c>
      <c r="C105" s="1" t="s">
        <v>399</v>
      </c>
      <c r="D105" s="1" t="s">
        <v>447</v>
      </c>
      <c r="E105" s="1" t="s">
        <v>317</v>
      </c>
    </row>
    <row r="106" spans="1:5" x14ac:dyDescent="0.2">
      <c r="A106" s="1" t="str">
        <f>"300896"</f>
        <v>300896</v>
      </c>
      <c r="B106" s="1" t="s">
        <v>106</v>
      </c>
      <c r="C106" s="1" t="s">
        <v>448</v>
      </c>
      <c r="D106" s="1" t="s">
        <v>449</v>
      </c>
      <c r="E106" s="1" t="s">
        <v>352</v>
      </c>
    </row>
    <row r="107" spans="1:5" x14ac:dyDescent="0.2">
      <c r="A107" s="1" t="str">
        <f>"300999"</f>
        <v>300999</v>
      </c>
      <c r="B107" s="1" t="s">
        <v>107</v>
      </c>
      <c r="C107" s="1" t="s">
        <v>450</v>
      </c>
      <c r="D107" s="1" t="s">
        <v>451</v>
      </c>
      <c r="E107" s="1" t="s">
        <v>380</v>
      </c>
    </row>
    <row r="108" spans="1:5" x14ac:dyDescent="0.2">
      <c r="A108" s="1" t="str">
        <f>"301165"</f>
        <v>301165</v>
      </c>
      <c r="B108" s="1" t="s">
        <v>108</v>
      </c>
      <c r="C108" s="1" t="s">
        <v>310</v>
      </c>
      <c r="D108" s="1" t="s">
        <v>434</v>
      </c>
      <c r="E108" s="1" t="s">
        <v>443</v>
      </c>
    </row>
    <row r="109" spans="1:5" x14ac:dyDescent="0.2">
      <c r="A109" s="1" t="str">
        <f>"301236"</f>
        <v>301236</v>
      </c>
      <c r="B109" s="1" t="s">
        <v>109</v>
      </c>
      <c r="C109" s="1" t="s">
        <v>396</v>
      </c>
      <c r="D109" s="1" t="s">
        <v>426</v>
      </c>
      <c r="E109" s="1" t="s">
        <v>352</v>
      </c>
    </row>
    <row r="110" spans="1:5" x14ac:dyDescent="0.2">
      <c r="A110" s="1" t="str">
        <f>"301269"</f>
        <v>301269</v>
      </c>
      <c r="B110" s="1" t="s">
        <v>110</v>
      </c>
      <c r="C110" s="1" t="s">
        <v>383</v>
      </c>
      <c r="D110" s="1" t="s">
        <v>384</v>
      </c>
      <c r="E110" s="1" t="s">
        <v>352</v>
      </c>
    </row>
    <row r="111" spans="1:5" x14ac:dyDescent="0.2">
      <c r="A111" s="1" t="str">
        <f>"301308"</f>
        <v>301308</v>
      </c>
      <c r="B111" s="1" t="s">
        <v>111</v>
      </c>
      <c r="C111" s="1" t="s">
        <v>383</v>
      </c>
      <c r="D111" s="1" t="s">
        <v>384</v>
      </c>
      <c r="E111" s="1" t="s">
        <v>307</v>
      </c>
    </row>
    <row r="112" spans="1:5" x14ac:dyDescent="0.2">
      <c r="A112" s="1" t="str">
        <f>"302132"</f>
        <v>302132</v>
      </c>
      <c r="B112" s="1" t="s">
        <v>112</v>
      </c>
      <c r="C112" s="1" t="s">
        <v>392</v>
      </c>
      <c r="D112" s="1" t="s">
        <v>393</v>
      </c>
      <c r="E112" s="1" t="s">
        <v>355</v>
      </c>
    </row>
    <row r="113" spans="1:5" x14ac:dyDescent="0.2">
      <c r="A113" s="1" t="str">
        <f>"600000"</f>
        <v>600000</v>
      </c>
      <c r="B113" s="1" t="s">
        <v>113</v>
      </c>
      <c r="C113" s="1" t="s">
        <v>305</v>
      </c>
      <c r="D113" s="1" t="s">
        <v>306</v>
      </c>
      <c r="E113" s="1" t="s">
        <v>380</v>
      </c>
    </row>
    <row r="114" spans="1:5" x14ac:dyDescent="0.2">
      <c r="A114" s="1" t="str">
        <f>"600009"</f>
        <v>600009</v>
      </c>
      <c r="B114" s="1" t="s">
        <v>114</v>
      </c>
      <c r="C114" s="1" t="s">
        <v>452</v>
      </c>
      <c r="D114" s="1" t="s">
        <v>453</v>
      </c>
      <c r="E114" s="1" t="s">
        <v>380</v>
      </c>
    </row>
    <row r="115" spans="1:5" x14ac:dyDescent="0.2">
      <c r="A115" s="1" t="str">
        <f>"600010"</f>
        <v>600010</v>
      </c>
      <c r="B115" s="1" t="s">
        <v>115</v>
      </c>
      <c r="C115" s="1" t="s">
        <v>454</v>
      </c>
      <c r="D115" s="1" t="s">
        <v>455</v>
      </c>
      <c r="E115" s="1" t="s">
        <v>367</v>
      </c>
    </row>
    <row r="116" spans="1:5" x14ac:dyDescent="0.2">
      <c r="A116" s="1" t="str">
        <f>"600011"</f>
        <v>600011</v>
      </c>
      <c r="B116" s="1" t="s">
        <v>116</v>
      </c>
      <c r="C116" s="1" t="s">
        <v>422</v>
      </c>
      <c r="D116" s="1" t="s">
        <v>456</v>
      </c>
      <c r="E116" s="1" t="s">
        <v>352</v>
      </c>
    </row>
    <row r="117" spans="1:5" x14ac:dyDescent="0.2">
      <c r="A117" s="1" t="str">
        <f>"600015"</f>
        <v>600015</v>
      </c>
      <c r="B117" s="1" t="s">
        <v>117</v>
      </c>
      <c r="C117" s="1" t="s">
        <v>305</v>
      </c>
      <c r="D117" s="1" t="s">
        <v>306</v>
      </c>
      <c r="E117" s="1" t="s">
        <v>352</v>
      </c>
    </row>
    <row r="118" spans="1:5" x14ac:dyDescent="0.2">
      <c r="A118" s="1" t="str">
        <f>"600016"</f>
        <v>600016</v>
      </c>
      <c r="B118" s="1" t="s">
        <v>118</v>
      </c>
      <c r="C118" s="1" t="s">
        <v>305</v>
      </c>
      <c r="D118" s="1" t="s">
        <v>306</v>
      </c>
      <c r="E118" s="1" t="s">
        <v>352</v>
      </c>
    </row>
    <row r="119" spans="1:5" x14ac:dyDescent="0.2">
      <c r="A119" s="1" t="str">
        <f>"600018"</f>
        <v>600018</v>
      </c>
      <c r="B119" s="1" t="s">
        <v>119</v>
      </c>
      <c r="C119" s="1" t="s">
        <v>457</v>
      </c>
      <c r="D119" s="1" t="s">
        <v>458</v>
      </c>
      <c r="E119" s="1" t="s">
        <v>380</v>
      </c>
    </row>
    <row r="120" spans="1:5" x14ac:dyDescent="0.2">
      <c r="A120" s="1" t="str">
        <f>"600019"</f>
        <v>600019</v>
      </c>
      <c r="B120" s="1" t="s">
        <v>120</v>
      </c>
      <c r="C120" s="1" t="s">
        <v>454</v>
      </c>
      <c r="D120" s="1" t="s">
        <v>455</v>
      </c>
      <c r="E120" s="1" t="s">
        <v>380</v>
      </c>
    </row>
    <row r="121" spans="1:5" x14ac:dyDescent="0.2">
      <c r="A121" s="1" t="str">
        <f>"600023"</f>
        <v>600023</v>
      </c>
      <c r="B121" s="1" t="s">
        <v>121</v>
      </c>
      <c r="C121" s="1" t="s">
        <v>422</v>
      </c>
      <c r="D121" s="1" t="s">
        <v>456</v>
      </c>
      <c r="E121" s="1" t="s">
        <v>364</v>
      </c>
    </row>
    <row r="122" spans="1:5" x14ac:dyDescent="0.2">
      <c r="A122" s="1" t="str">
        <f>"600025"</f>
        <v>600025</v>
      </c>
      <c r="B122" s="1" t="s">
        <v>122</v>
      </c>
      <c r="C122" s="1" t="s">
        <v>422</v>
      </c>
      <c r="D122" s="1" t="s">
        <v>459</v>
      </c>
      <c r="E122" s="1" t="s">
        <v>334</v>
      </c>
    </row>
    <row r="123" spans="1:5" x14ac:dyDescent="0.2">
      <c r="A123" s="1" t="str">
        <f>"600026"</f>
        <v>600026</v>
      </c>
      <c r="B123" s="1" t="s">
        <v>123</v>
      </c>
      <c r="C123" s="1" t="s">
        <v>457</v>
      </c>
      <c r="D123" s="1" t="s">
        <v>460</v>
      </c>
      <c r="E123" s="1" t="s">
        <v>380</v>
      </c>
    </row>
    <row r="124" spans="1:5" x14ac:dyDescent="0.2">
      <c r="A124" s="1" t="str">
        <f>"600027"</f>
        <v>600027</v>
      </c>
      <c r="B124" s="1" t="s">
        <v>124</v>
      </c>
      <c r="C124" s="1" t="s">
        <v>422</v>
      </c>
      <c r="D124" s="1" t="s">
        <v>456</v>
      </c>
      <c r="E124" s="1" t="s">
        <v>328</v>
      </c>
    </row>
    <row r="125" spans="1:5" x14ac:dyDescent="0.2">
      <c r="A125" s="1" t="str">
        <f>"600028"</f>
        <v>600028</v>
      </c>
      <c r="B125" s="1" t="s">
        <v>125</v>
      </c>
      <c r="C125" s="1" t="s">
        <v>461</v>
      </c>
      <c r="D125" s="1" t="s">
        <v>462</v>
      </c>
      <c r="E125" s="1" t="s">
        <v>352</v>
      </c>
    </row>
    <row r="126" spans="1:5" x14ac:dyDescent="0.2">
      <c r="A126" s="1" t="str">
        <f>"600029"</f>
        <v>600029</v>
      </c>
      <c r="B126" s="1" t="s">
        <v>126</v>
      </c>
      <c r="C126" s="1" t="s">
        <v>452</v>
      </c>
      <c r="D126" s="1" t="s">
        <v>463</v>
      </c>
      <c r="E126" s="1" t="s">
        <v>314</v>
      </c>
    </row>
    <row r="127" spans="1:5" x14ac:dyDescent="0.2">
      <c r="A127" s="1" t="str">
        <f>"600030"</f>
        <v>600030</v>
      </c>
      <c r="B127" s="1" t="s">
        <v>127</v>
      </c>
      <c r="C127" s="1" t="s">
        <v>318</v>
      </c>
      <c r="D127" s="1" t="s">
        <v>319</v>
      </c>
      <c r="E127" s="1" t="s">
        <v>307</v>
      </c>
    </row>
    <row r="128" spans="1:5" x14ac:dyDescent="0.2">
      <c r="A128" s="1" t="str">
        <f>"600031"</f>
        <v>600031</v>
      </c>
      <c r="B128" s="1" t="s">
        <v>128</v>
      </c>
      <c r="C128" s="1" t="s">
        <v>315</v>
      </c>
      <c r="D128" s="1" t="s">
        <v>316</v>
      </c>
      <c r="E128" s="1" t="s">
        <v>352</v>
      </c>
    </row>
    <row r="129" spans="1:5" x14ac:dyDescent="0.2">
      <c r="A129" s="1" t="str">
        <f>"600036"</f>
        <v>600036</v>
      </c>
      <c r="B129" s="1" t="s">
        <v>129</v>
      </c>
      <c r="C129" s="1" t="s">
        <v>305</v>
      </c>
      <c r="D129" s="1" t="s">
        <v>306</v>
      </c>
      <c r="E129" s="1" t="s">
        <v>307</v>
      </c>
    </row>
    <row r="130" spans="1:5" x14ac:dyDescent="0.2">
      <c r="A130" s="1" t="str">
        <f>"600039"</f>
        <v>600039</v>
      </c>
      <c r="B130" s="1" t="s">
        <v>130</v>
      </c>
      <c r="C130" s="1" t="s">
        <v>464</v>
      </c>
      <c r="D130" s="1" t="s">
        <v>465</v>
      </c>
      <c r="E130" s="1" t="s">
        <v>337</v>
      </c>
    </row>
    <row r="131" spans="1:5" x14ac:dyDescent="0.2">
      <c r="A131" s="1" t="str">
        <f>"600048"</f>
        <v>600048</v>
      </c>
      <c r="B131" s="1" t="s">
        <v>131</v>
      </c>
      <c r="C131" s="1" t="s">
        <v>308</v>
      </c>
      <c r="D131" s="1" t="s">
        <v>309</v>
      </c>
      <c r="E131" s="1" t="s">
        <v>314</v>
      </c>
    </row>
    <row r="132" spans="1:5" x14ac:dyDescent="0.2">
      <c r="A132" s="1" t="str">
        <f>"600050"</f>
        <v>600050</v>
      </c>
      <c r="B132" s="1" t="s">
        <v>132</v>
      </c>
      <c r="C132" s="1" t="s">
        <v>466</v>
      </c>
      <c r="D132" s="1" t="s">
        <v>467</v>
      </c>
      <c r="E132" s="1" t="s">
        <v>352</v>
      </c>
    </row>
    <row r="133" spans="1:5" x14ac:dyDescent="0.2">
      <c r="A133" s="1" t="str">
        <f>"600061"</f>
        <v>600061</v>
      </c>
      <c r="B133" s="1" t="s">
        <v>133</v>
      </c>
      <c r="C133" s="1" t="s">
        <v>318</v>
      </c>
      <c r="D133" s="1" t="s">
        <v>319</v>
      </c>
      <c r="E133" s="1" t="s">
        <v>380</v>
      </c>
    </row>
    <row r="134" spans="1:5" x14ac:dyDescent="0.2">
      <c r="A134" s="1" t="str">
        <f>"600066"</f>
        <v>600066</v>
      </c>
      <c r="B134" s="1" t="s">
        <v>134</v>
      </c>
      <c r="C134" s="1" t="s">
        <v>468</v>
      </c>
      <c r="D134" s="1" t="s">
        <v>469</v>
      </c>
      <c r="E134" s="1" t="s">
        <v>359</v>
      </c>
    </row>
    <row r="135" spans="1:5" x14ac:dyDescent="0.2">
      <c r="A135" s="1" t="str">
        <f>"600085"</f>
        <v>600085</v>
      </c>
      <c r="B135" s="1" t="s">
        <v>135</v>
      </c>
      <c r="C135" s="1" t="s">
        <v>332</v>
      </c>
      <c r="D135" s="1" t="s">
        <v>333</v>
      </c>
      <c r="E135" s="1" t="s">
        <v>352</v>
      </c>
    </row>
    <row r="136" spans="1:5" x14ac:dyDescent="0.2">
      <c r="A136" s="1" t="str">
        <f>"600089"</f>
        <v>600089</v>
      </c>
      <c r="B136" s="1" t="s">
        <v>136</v>
      </c>
      <c r="C136" s="1" t="s">
        <v>381</v>
      </c>
      <c r="D136" s="1" t="s">
        <v>382</v>
      </c>
      <c r="E136" s="1" t="s">
        <v>320</v>
      </c>
    </row>
    <row r="137" spans="1:5" x14ac:dyDescent="0.2">
      <c r="A137" s="1" t="str">
        <f>"600104"</f>
        <v>600104</v>
      </c>
      <c r="B137" s="1" t="s">
        <v>137</v>
      </c>
      <c r="C137" s="1" t="s">
        <v>341</v>
      </c>
      <c r="D137" s="1" t="s">
        <v>342</v>
      </c>
      <c r="E137" s="1" t="s">
        <v>380</v>
      </c>
    </row>
    <row r="138" spans="1:5" x14ac:dyDescent="0.2">
      <c r="A138" s="1" t="str">
        <f>"600111"</f>
        <v>600111</v>
      </c>
      <c r="B138" s="1" t="s">
        <v>138</v>
      </c>
      <c r="C138" s="1" t="s">
        <v>346</v>
      </c>
      <c r="D138" s="1" t="s">
        <v>470</v>
      </c>
      <c r="E138" s="1" t="s">
        <v>367</v>
      </c>
    </row>
    <row r="139" spans="1:5" x14ac:dyDescent="0.2">
      <c r="A139" s="1" t="str">
        <f>"600115"</f>
        <v>600115</v>
      </c>
      <c r="B139" s="1" t="s">
        <v>139</v>
      </c>
      <c r="C139" s="1" t="s">
        <v>452</v>
      </c>
      <c r="D139" s="1" t="s">
        <v>463</v>
      </c>
      <c r="E139" s="1" t="s">
        <v>380</v>
      </c>
    </row>
    <row r="140" spans="1:5" x14ac:dyDescent="0.2">
      <c r="A140" s="1" t="str">
        <f>"600118"</f>
        <v>600118</v>
      </c>
      <c r="B140" s="1" t="s">
        <v>140</v>
      </c>
      <c r="C140" s="1" t="s">
        <v>471</v>
      </c>
      <c r="D140" s="1" t="s">
        <v>472</v>
      </c>
      <c r="E140" s="1" t="s">
        <v>352</v>
      </c>
    </row>
    <row r="141" spans="1:5" x14ac:dyDescent="0.2">
      <c r="A141" s="1" t="str">
        <f>"600150"</f>
        <v>600150</v>
      </c>
      <c r="B141" s="1" t="s">
        <v>141</v>
      </c>
      <c r="C141" s="1" t="s">
        <v>473</v>
      </c>
      <c r="D141" s="1" t="s">
        <v>474</v>
      </c>
      <c r="E141" s="1" t="s">
        <v>380</v>
      </c>
    </row>
    <row r="142" spans="1:5" x14ac:dyDescent="0.2">
      <c r="A142" s="1" t="str">
        <f>"600160"</f>
        <v>600160</v>
      </c>
      <c r="B142" s="1" t="s">
        <v>142</v>
      </c>
      <c r="C142" s="1" t="s">
        <v>376</v>
      </c>
      <c r="D142" s="1" t="s">
        <v>475</v>
      </c>
      <c r="E142" s="1" t="s">
        <v>364</v>
      </c>
    </row>
    <row r="143" spans="1:5" x14ac:dyDescent="0.2">
      <c r="A143" s="1" t="str">
        <f>"600176"</f>
        <v>600176</v>
      </c>
      <c r="B143" s="1" t="s">
        <v>143</v>
      </c>
      <c r="C143" s="1" t="s">
        <v>476</v>
      </c>
      <c r="D143" s="1" t="s">
        <v>477</v>
      </c>
      <c r="E143" s="1" t="s">
        <v>364</v>
      </c>
    </row>
    <row r="144" spans="1:5" x14ac:dyDescent="0.2">
      <c r="A144" s="1" t="str">
        <f>"600183"</f>
        <v>600183</v>
      </c>
      <c r="B144" s="1" t="s">
        <v>144</v>
      </c>
      <c r="C144" s="1" t="s">
        <v>407</v>
      </c>
      <c r="D144" s="1" t="s">
        <v>408</v>
      </c>
      <c r="E144" s="1" t="s">
        <v>314</v>
      </c>
    </row>
    <row r="145" spans="1:5" x14ac:dyDescent="0.2">
      <c r="A145" s="1" t="str">
        <f>"600188"</f>
        <v>600188</v>
      </c>
      <c r="B145" s="1" t="s">
        <v>145</v>
      </c>
      <c r="C145" s="1" t="s">
        <v>478</v>
      </c>
      <c r="D145" s="1" t="s">
        <v>479</v>
      </c>
      <c r="E145" s="1" t="s">
        <v>328</v>
      </c>
    </row>
    <row r="146" spans="1:5" x14ac:dyDescent="0.2">
      <c r="A146" s="1" t="str">
        <f>"600196"</f>
        <v>600196</v>
      </c>
      <c r="B146" s="1" t="s">
        <v>146</v>
      </c>
      <c r="C146" s="1" t="s">
        <v>362</v>
      </c>
      <c r="D146" s="1" t="s">
        <v>363</v>
      </c>
      <c r="E146" s="1" t="s">
        <v>380</v>
      </c>
    </row>
    <row r="147" spans="1:5" x14ac:dyDescent="0.2">
      <c r="A147" s="1" t="str">
        <f>"600219"</f>
        <v>600219</v>
      </c>
      <c r="B147" s="1" t="s">
        <v>147</v>
      </c>
      <c r="C147" s="1" t="s">
        <v>344</v>
      </c>
      <c r="D147" s="1" t="s">
        <v>356</v>
      </c>
      <c r="E147" s="1" t="s">
        <v>328</v>
      </c>
    </row>
    <row r="148" spans="1:5" x14ac:dyDescent="0.2">
      <c r="A148" s="1" t="str">
        <f>"600221"</f>
        <v>600221</v>
      </c>
      <c r="B148" s="1" t="s">
        <v>148</v>
      </c>
      <c r="C148" s="1" t="s">
        <v>452</v>
      </c>
      <c r="D148" s="1" t="s">
        <v>463</v>
      </c>
      <c r="E148" s="1" t="s">
        <v>348</v>
      </c>
    </row>
    <row r="149" spans="1:5" x14ac:dyDescent="0.2">
      <c r="A149" s="1" t="str">
        <f>"600233"</f>
        <v>600233</v>
      </c>
      <c r="B149" s="1" t="s">
        <v>149</v>
      </c>
      <c r="C149" s="1" t="s">
        <v>371</v>
      </c>
      <c r="D149" s="1" t="s">
        <v>403</v>
      </c>
      <c r="E149" s="1" t="s">
        <v>480</v>
      </c>
    </row>
    <row r="150" spans="1:5" x14ac:dyDescent="0.2">
      <c r="A150" s="1" t="str">
        <f>"600276"</f>
        <v>600276</v>
      </c>
      <c r="B150" s="1" t="s">
        <v>150</v>
      </c>
      <c r="C150" s="1" t="s">
        <v>362</v>
      </c>
      <c r="D150" s="1" t="s">
        <v>363</v>
      </c>
      <c r="E150" s="1" t="s">
        <v>323</v>
      </c>
    </row>
    <row r="151" spans="1:5" x14ac:dyDescent="0.2">
      <c r="A151" s="1" t="str">
        <f>"600309"</f>
        <v>600309</v>
      </c>
      <c r="B151" s="1" t="s">
        <v>151</v>
      </c>
      <c r="C151" s="1" t="s">
        <v>376</v>
      </c>
      <c r="D151" s="1" t="s">
        <v>481</v>
      </c>
      <c r="E151" s="1" t="s">
        <v>328</v>
      </c>
    </row>
    <row r="152" spans="1:5" x14ac:dyDescent="0.2">
      <c r="A152" s="1" t="str">
        <f>"600346"</f>
        <v>600346</v>
      </c>
      <c r="B152" s="1" t="s">
        <v>152</v>
      </c>
      <c r="C152" s="1" t="s">
        <v>461</v>
      </c>
      <c r="D152" s="1" t="s">
        <v>462</v>
      </c>
      <c r="E152" s="1" t="s">
        <v>480</v>
      </c>
    </row>
    <row r="153" spans="1:5" x14ac:dyDescent="0.2">
      <c r="A153" s="1" t="str">
        <f>"600362"</f>
        <v>600362</v>
      </c>
      <c r="B153" s="1" t="s">
        <v>153</v>
      </c>
      <c r="C153" s="1" t="s">
        <v>344</v>
      </c>
      <c r="D153" s="1" t="s">
        <v>345</v>
      </c>
      <c r="E153" s="1" t="s">
        <v>411</v>
      </c>
    </row>
    <row r="154" spans="1:5" x14ac:dyDescent="0.2">
      <c r="A154" s="1" t="str">
        <f>"600372"</f>
        <v>600372</v>
      </c>
      <c r="B154" s="1" t="s">
        <v>154</v>
      </c>
      <c r="C154" s="1" t="s">
        <v>353</v>
      </c>
      <c r="D154" s="1" t="s">
        <v>354</v>
      </c>
      <c r="E154" s="1" t="s">
        <v>352</v>
      </c>
    </row>
    <row r="155" spans="1:5" x14ac:dyDescent="0.2">
      <c r="A155" s="1" t="str">
        <f>"600406"</f>
        <v>600406</v>
      </c>
      <c r="B155" s="1" t="s">
        <v>155</v>
      </c>
      <c r="C155" s="1" t="s">
        <v>381</v>
      </c>
      <c r="D155" s="1" t="s">
        <v>482</v>
      </c>
      <c r="E155" s="1" t="s">
        <v>323</v>
      </c>
    </row>
    <row r="156" spans="1:5" x14ac:dyDescent="0.2">
      <c r="A156" s="1" t="str">
        <f>"600415"</f>
        <v>600415</v>
      </c>
      <c r="B156" s="1" t="s">
        <v>156</v>
      </c>
      <c r="C156" s="1" t="s">
        <v>483</v>
      </c>
      <c r="D156" s="1" t="s">
        <v>484</v>
      </c>
      <c r="E156" s="1" t="s">
        <v>364</v>
      </c>
    </row>
    <row r="157" spans="1:5" x14ac:dyDescent="0.2">
      <c r="A157" s="1" t="str">
        <f>"600426"</f>
        <v>600426</v>
      </c>
      <c r="B157" s="1" t="s">
        <v>157</v>
      </c>
      <c r="C157" s="1" t="s">
        <v>415</v>
      </c>
      <c r="D157" s="1" t="s">
        <v>485</v>
      </c>
      <c r="E157" s="1" t="s">
        <v>328</v>
      </c>
    </row>
    <row r="158" spans="1:5" x14ac:dyDescent="0.2">
      <c r="A158" s="1" t="str">
        <f>"600436"</f>
        <v>600436</v>
      </c>
      <c r="B158" s="1" t="s">
        <v>158</v>
      </c>
      <c r="C158" s="1" t="s">
        <v>332</v>
      </c>
      <c r="D158" s="1" t="s">
        <v>333</v>
      </c>
      <c r="E158" s="1" t="s">
        <v>443</v>
      </c>
    </row>
    <row r="159" spans="1:5" x14ac:dyDescent="0.2">
      <c r="A159" s="1" t="str">
        <f>"600438"</f>
        <v>600438</v>
      </c>
      <c r="B159" s="1" t="s">
        <v>159</v>
      </c>
      <c r="C159" s="1" t="s">
        <v>432</v>
      </c>
      <c r="D159" s="1" t="s">
        <v>486</v>
      </c>
      <c r="E159" s="1" t="s">
        <v>337</v>
      </c>
    </row>
    <row r="160" spans="1:5" x14ac:dyDescent="0.2">
      <c r="A160" s="1" t="str">
        <f>"600460"</f>
        <v>600460</v>
      </c>
      <c r="B160" s="1" t="s">
        <v>160</v>
      </c>
      <c r="C160" s="1" t="s">
        <v>383</v>
      </c>
      <c r="D160" s="1" t="s">
        <v>487</v>
      </c>
      <c r="E160" s="1" t="s">
        <v>364</v>
      </c>
    </row>
    <row r="161" spans="1:5" x14ac:dyDescent="0.2">
      <c r="A161" s="1" t="str">
        <f>"600482"</f>
        <v>600482</v>
      </c>
      <c r="B161" s="1" t="s">
        <v>161</v>
      </c>
      <c r="C161" s="1" t="s">
        <v>473</v>
      </c>
      <c r="D161" s="1" t="s">
        <v>474</v>
      </c>
      <c r="E161" s="1" t="s">
        <v>385</v>
      </c>
    </row>
    <row r="162" spans="1:5" x14ac:dyDescent="0.2">
      <c r="A162" s="1" t="str">
        <f>"600489"</f>
        <v>600489</v>
      </c>
      <c r="B162" s="1" t="s">
        <v>162</v>
      </c>
      <c r="C162" s="1" t="s">
        <v>365</v>
      </c>
      <c r="D162" s="1" t="s">
        <v>366</v>
      </c>
      <c r="E162" s="1" t="s">
        <v>352</v>
      </c>
    </row>
    <row r="163" spans="1:5" x14ac:dyDescent="0.2">
      <c r="A163" s="1" t="str">
        <f>"600515"</f>
        <v>600515</v>
      </c>
      <c r="B163" s="1" t="s">
        <v>163</v>
      </c>
      <c r="C163" s="1" t="s">
        <v>452</v>
      </c>
      <c r="D163" s="1" t="s">
        <v>453</v>
      </c>
      <c r="E163" s="1" t="s">
        <v>348</v>
      </c>
    </row>
    <row r="164" spans="1:5" x14ac:dyDescent="0.2">
      <c r="A164" s="1" t="str">
        <f>"600519"</f>
        <v>600519</v>
      </c>
      <c r="B164" s="1" t="s">
        <v>164</v>
      </c>
      <c r="C164" s="1" t="s">
        <v>335</v>
      </c>
      <c r="D164" s="1" t="s">
        <v>336</v>
      </c>
      <c r="E164" s="1" t="s">
        <v>488</v>
      </c>
    </row>
    <row r="165" spans="1:5" x14ac:dyDescent="0.2">
      <c r="A165" s="1" t="str">
        <f>"600522"</f>
        <v>600522</v>
      </c>
      <c r="B165" s="1" t="s">
        <v>165</v>
      </c>
      <c r="C165" s="1" t="s">
        <v>310</v>
      </c>
      <c r="D165" s="1" t="s">
        <v>489</v>
      </c>
      <c r="E165" s="1" t="s">
        <v>323</v>
      </c>
    </row>
    <row r="166" spans="1:5" x14ac:dyDescent="0.2">
      <c r="A166" s="1" t="str">
        <f>"600547"</f>
        <v>600547</v>
      </c>
      <c r="B166" s="1" t="s">
        <v>166</v>
      </c>
      <c r="C166" s="1" t="s">
        <v>365</v>
      </c>
      <c r="D166" s="1" t="s">
        <v>366</v>
      </c>
      <c r="E166" s="1" t="s">
        <v>328</v>
      </c>
    </row>
    <row r="167" spans="1:5" x14ac:dyDescent="0.2">
      <c r="A167" s="1" t="str">
        <f>"600549"</f>
        <v>600549</v>
      </c>
      <c r="B167" s="1" t="s">
        <v>167</v>
      </c>
      <c r="C167" s="1" t="s">
        <v>346</v>
      </c>
      <c r="D167" s="1" t="s">
        <v>347</v>
      </c>
      <c r="E167" s="1" t="s">
        <v>443</v>
      </c>
    </row>
    <row r="168" spans="1:5" x14ac:dyDescent="0.2">
      <c r="A168" s="1" t="str">
        <f>"600570"</f>
        <v>600570</v>
      </c>
      <c r="B168" s="1" t="s">
        <v>168</v>
      </c>
      <c r="C168" s="1" t="s">
        <v>396</v>
      </c>
      <c r="D168" s="1" t="s">
        <v>426</v>
      </c>
      <c r="E168" s="1" t="s">
        <v>364</v>
      </c>
    </row>
    <row r="169" spans="1:5" x14ac:dyDescent="0.2">
      <c r="A169" s="1" t="str">
        <f>"600584"</f>
        <v>600584</v>
      </c>
      <c r="B169" s="1" t="s">
        <v>169</v>
      </c>
      <c r="C169" s="1" t="s">
        <v>383</v>
      </c>
      <c r="D169" s="1" t="s">
        <v>490</v>
      </c>
      <c r="E169" s="1" t="s">
        <v>323</v>
      </c>
    </row>
    <row r="170" spans="1:5" x14ac:dyDescent="0.2">
      <c r="A170" s="1" t="str">
        <f>"600585"</f>
        <v>600585</v>
      </c>
      <c r="B170" s="1" t="s">
        <v>170</v>
      </c>
      <c r="C170" s="1" t="s">
        <v>491</v>
      </c>
      <c r="D170" s="1" t="s">
        <v>492</v>
      </c>
      <c r="E170" s="1" t="s">
        <v>338</v>
      </c>
    </row>
    <row r="171" spans="1:5" x14ac:dyDescent="0.2">
      <c r="A171" s="1" t="str">
        <f>"600588"</f>
        <v>600588</v>
      </c>
      <c r="B171" s="1" t="s">
        <v>171</v>
      </c>
      <c r="C171" s="1" t="s">
        <v>439</v>
      </c>
      <c r="D171" s="1" t="s">
        <v>493</v>
      </c>
      <c r="E171" s="1" t="s">
        <v>352</v>
      </c>
    </row>
    <row r="172" spans="1:5" x14ac:dyDescent="0.2">
      <c r="A172" s="1" t="str">
        <f>"600600"</f>
        <v>600600</v>
      </c>
      <c r="B172" s="1" t="s">
        <v>172</v>
      </c>
      <c r="C172" s="1" t="s">
        <v>335</v>
      </c>
      <c r="D172" s="1" t="s">
        <v>494</v>
      </c>
      <c r="E172" s="1" t="s">
        <v>328</v>
      </c>
    </row>
    <row r="173" spans="1:5" x14ac:dyDescent="0.2">
      <c r="A173" s="1" t="str">
        <f>"600660"</f>
        <v>600660</v>
      </c>
      <c r="B173" s="1" t="s">
        <v>173</v>
      </c>
      <c r="C173" s="1" t="s">
        <v>326</v>
      </c>
      <c r="D173" s="1" t="s">
        <v>495</v>
      </c>
      <c r="E173" s="1" t="s">
        <v>443</v>
      </c>
    </row>
    <row r="174" spans="1:5" x14ac:dyDescent="0.2">
      <c r="A174" s="1" t="str">
        <f>"600674"</f>
        <v>600674</v>
      </c>
      <c r="B174" s="1" t="s">
        <v>174</v>
      </c>
      <c r="C174" s="1" t="s">
        <v>422</v>
      </c>
      <c r="D174" s="1" t="s">
        <v>459</v>
      </c>
      <c r="E174" s="1" t="s">
        <v>337</v>
      </c>
    </row>
    <row r="175" spans="1:5" x14ac:dyDescent="0.2">
      <c r="A175" s="1" t="str">
        <f>"600690"</f>
        <v>600690</v>
      </c>
      <c r="B175" s="1" t="s">
        <v>175</v>
      </c>
      <c r="C175" s="1" t="s">
        <v>324</v>
      </c>
      <c r="D175" s="1" t="s">
        <v>496</v>
      </c>
      <c r="E175" s="1" t="s">
        <v>328</v>
      </c>
    </row>
    <row r="176" spans="1:5" x14ac:dyDescent="0.2">
      <c r="A176" s="1" t="str">
        <f>"600741"</f>
        <v>600741</v>
      </c>
      <c r="B176" s="1" t="s">
        <v>176</v>
      </c>
      <c r="C176" s="1" t="s">
        <v>326</v>
      </c>
      <c r="D176" s="1" t="s">
        <v>495</v>
      </c>
      <c r="E176" s="1" t="s">
        <v>380</v>
      </c>
    </row>
    <row r="177" spans="1:5" x14ac:dyDescent="0.2">
      <c r="A177" s="1" t="str">
        <f>"600760"</f>
        <v>600760</v>
      </c>
      <c r="B177" s="1" t="s">
        <v>177</v>
      </c>
      <c r="C177" s="1" t="s">
        <v>353</v>
      </c>
      <c r="D177" s="1" t="s">
        <v>354</v>
      </c>
      <c r="E177" s="1" t="s">
        <v>328</v>
      </c>
    </row>
    <row r="178" spans="1:5" x14ac:dyDescent="0.2">
      <c r="A178" s="1" t="str">
        <f>"600795"</f>
        <v>600795</v>
      </c>
      <c r="B178" s="1" t="s">
        <v>178</v>
      </c>
      <c r="C178" s="1" t="s">
        <v>422</v>
      </c>
      <c r="D178" s="1" t="s">
        <v>456</v>
      </c>
      <c r="E178" s="1" t="s">
        <v>480</v>
      </c>
    </row>
    <row r="179" spans="1:5" x14ac:dyDescent="0.2">
      <c r="A179" s="1" t="str">
        <f>"600803"</f>
        <v>600803</v>
      </c>
      <c r="B179" s="1" t="s">
        <v>179</v>
      </c>
      <c r="C179" s="1" t="s">
        <v>497</v>
      </c>
      <c r="D179" s="1" t="s">
        <v>498</v>
      </c>
      <c r="E179" s="1" t="s">
        <v>385</v>
      </c>
    </row>
    <row r="180" spans="1:5" x14ac:dyDescent="0.2">
      <c r="A180" s="1" t="str">
        <f>"600809"</f>
        <v>600809</v>
      </c>
      <c r="B180" s="1" t="s">
        <v>180</v>
      </c>
      <c r="C180" s="1" t="s">
        <v>335</v>
      </c>
      <c r="D180" s="1" t="s">
        <v>336</v>
      </c>
      <c r="E180" s="1" t="s">
        <v>499</v>
      </c>
    </row>
    <row r="181" spans="1:5" x14ac:dyDescent="0.2">
      <c r="A181" s="1" t="str">
        <f>"600845"</f>
        <v>600845</v>
      </c>
      <c r="B181" s="1" t="s">
        <v>181</v>
      </c>
      <c r="C181" s="1" t="s">
        <v>396</v>
      </c>
      <c r="D181" s="1" t="s">
        <v>426</v>
      </c>
      <c r="E181" s="1" t="s">
        <v>380</v>
      </c>
    </row>
    <row r="182" spans="1:5" x14ac:dyDescent="0.2">
      <c r="A182" s="1" t="str">
        <f>"600875"</f>
        <v>600875</v>
      </c>
      <c r="B182" s="1" t="s">
        <v>182</v>
      </c>
      <c r="C182" s="1" t="s">
        <v>500</v>
      </c>
      <c r="D182" s="1" t="s">
        <v>501</v>
      </c>
      <c r="E182" s="1" t="s">
        <v>337</v>
      </c>
    </row>
    <row r="183" spans="1:5" x14ac:dyDescent="0.2">
      <c r="A183" s="1" t="str">
        <f>"600886"</f>
        <v>600886</v>
      </c>
      <c r="B183" s="1" t="s">
        <v>183</v>
      </c>
      <c r="C183" s="1" t="s">
        <v>422</v>
      </c>
      <c r="D183" s="1" t="s">
        <v>459</v>
      </c>
      <c r="E183" s="1" t="s">
        <v>352</v>
      </c>
    </row>
    <row r="184" spans="1:5" x14ac:dyDescent="0.2">
      <c r="A184" s="1" t="str">
        <f>"600887"</f>
        <v>600887</v>
      </c>
      <c r="B184" s="1" t="s">
        <v>184</v>
      </c>
      <c r="C184" s="1" t="s">
        <v>502</v>
      </c>
      <c r="D184" s="1" t="s">
        <v>503</v>
      </c>
      <c r="E184" s="1" t="s">
        <v>367</v>
      </c>
    </row>
    <row r="185" spans="1:5" x14ac:dyDescent="0.2">
      <c r="A185" s="1" t="str">
        <f>"600893"</f>
        <v>600893</v>
      </c>
      <c r="B185" s="1" t="s">
        <v>185</v>
      </c>
      <c r="C185" s="1" t="s">
        <v>353</v>
      </c>
      <c r="D185" s="1" t="s">
        <v>354</v>
      </c>
      <c r="E185" s="1" t="s">
        <v>355</v>
      </c>
    </row>
    <row r="186" spans="1:5" x14ac:dyDescent="0.2">
      <c r="A186" s="1" t="str">
        <f>"600900"</f>
        <v>600900</v>
      </c>
      <c r="B186" s="1" t="s">
        <v>186</v>
      </c>
      <c r="C186" s="1" t="s">
        <v>422</v>
      </c>
      <c r="D186" s="1" t="s">
        <v>459</v>
      </c>
      <c r="E186" s="1" t="s">
        <v>352</v>
      </c>
    </row>
    <row r="187" spans="1:5" x14ac:dyDescent="0.2">
      <c r="A187" s="1" t="str">
        <f>"600905"</f>
        <v>600905</v>
      </c>
      <c r="B187" s="1" t="s">
        <v>187</v>
      </c>
      <c r="C187" s="1" t="s">
        <v>422</v>
      </c>
      <c r="D187" s="1" t="s">
        <v>504</v>
      </c>
      <c r="E187" s="1" t="s">
        <v>352</v>
      </c>
    </row>
    <row r="188" spans="1:5" x14ac:dyDescent="0.2">
      <c r="A188" s="1" t="str">
        <f>"600918"</f>
        <v>600918</v>
      </c>
      <c r="B188" s="1" t="s">
        <v>188</v>
      </c>
      <c r="C188" s="1" t="s">
        <v>318</v>
      </c>
      <c r="D188" s="1" t="s">
        <v>319</v>
      </c>
      <c r="E188" s="1" t="s">
        <v>328</v>
      </c>
    </row>
    <row r="189" spans="1:5" x14ac:dyDescent="0.2">
      <c r="A189" s="1" t="str">
        <f>"600919"</f>
        <v>600919</v>
      </c>
      <c r="B189" s="1" t="s">
        <v>189</v>
      </c>
      <c r="C189" s="1" t="s">
        <v>390</v>
      </c>
      <c r="D189" s="1" t="s">
        <v>391</v>
      </c>
      <c r="E189" s="1" t="s">
        <v>323</v>
      </c>
    </row>
    <row r="190" spans="1:5" x14ac:dyDescent="0.2">
      <c r="A190" s="1" t="str">
        <f>"600926"</f>
        <v>600926</v>
      </c>
      <c r="B190" s="1" t="s">
        <v>190</v>
      </c>
      <c r="C190" s="1" t="s">
        <v>390</v>
      </c>
      <c r="D190" s="1" t="s">
        <v>391</v>
      </c>
      <c r="E190" s="1" t="s">
        <v>364</v>
      </c>
    </row>
    <row r="191" spans="1:5" x14ac:dyDescent="0.2">
      <c r="A191" s="1" t="str">
        <f>"600930"</f>
        <v>600930</v>
      </c>
      <c r="B191" s="1" t="s">
        <v>191</v>
      </c>
      <c r="C191" s="1" t="s">
        <v>422</v>
      </c>
      <c r="D191" s="1" t="s">
        <v>504</v>
      </c>
      <c r="E191" s="1" t="s">
        <v>443</v>
      </c>
    </row>
    <row r="192" spans="1:5" x14ac:dyDescent="0.2">
      <c r="A192" s="1" t="str">
        <f>"600938"</f>
        <v>600938</v>
      </c>
      <c r="B192" s="1" t="s">
        <v>192</v>
      </c>
      <c r="C192" s="1" t="s">
        <v>505</v>
      </c>
      <c r="D192" s="1" t="s">
        <v>506</v>
      </c>
      <c r="E192" s="1" t="s">
        <v>352</v>
      </c>
    </row>
    <row r="193" spans="1:5" x14ac:dyDescent="0.2">
      <c r="A193" s="1" t="str">
        <f>"600941"</f>
        <v>600941</v>
      </c>
      <c r="B193" s="1" t="s">
        <v>193</v>
      </c>
      <c r="C193" s="1" t="s">
        <v>466</v>
      </c>
      <c r="D193" s="1" t="s">
        <v>467</v>
      </c>
      <c r="E193" s="1" t="s">
        <v>352</v>
      </c>
    </row>
    <row r="194" spans="1:5" x14ac:dyDescent="0.2">
      <c r="A194" s="1" t="str">
        <f>"600958"</f>
        <v>600958</v>
      </c>
      <c r="B194" s="1" t="s">
        <v>194</v>
      </c>
      <c r="C194" s="1" t="s">
        <v>318</v>
      </c>
      <c r="D194" s="1" t="s">
        <v>319</v>
      </c>
      <c r="E194" s="1" t="s">
        <v>380</v>
      </c>
    </row>
    <row r="195" spans="1:5" x14ac:dyDescent="0.2">
      <c r="A195" s="1" t="str">
        <f>"600989"</f>
        <v>600989</v>
      </c>
      <c r="B195" s="1" t="s">
        <v>195</v>
      </c>
      <c r="C195" s="1" t="s">
        <v>415</v>
      </c>
      <c r="D195" s="1" t="s">
        <v>485</v>
      </c>
      <c r="E195" s="1" t="s">
        <v>507</v>
      </c>
    </row>
    <row r="196" spans="1:5" x14ac:dyDescent="0.2">
      <c r="A196" s="1" t="str">
        <f>"600999"</f>
        <v>600999</v>
      </c>
      <c r="B196" s="1" t="s">
        <v>196</v>
      </c>
      <c r="C196" s="1" t="s">
        <v>318</v>
      </c>
      <c r="D196" s="1" t="s">
        <v>319</v>
      </c>
      <c r="E196" s="1" t="s">
        <v>307</v>
      </c>
    </row>
    <row r="197" spans="1:5" x14ac:dyDescent="0.2">
      <c r="A197" s="1" t="str">
        <f>"601006"</f>
        <v>601006</v>
      </c>
      <c r="B197" s="1" t="s">
        <v>197</v>
      </c>
      <c r="C197" s="1" t="s">
        <v>373</v>
      </c>
      <c r="D197" s="1" t="s">
        <v>508</v>
      </c>
      <c r="E197" s="1" t="s">
        <v>499</v>
      </c>
    </row>
    <row r="198" spans="1:5" x14ac:dyDescent="0.2">
      <c r="A198" s="1" t="str">
        <f>"601009"</f>
        <v>601009</v>
      </c>
      <c r="B198" s="1" t="s">
        <v>198</v>
      </c>
      <c r="C198" s="1" t="s">
        <v>390</v>
      </c>
      <c r="D198" s="1" t="s">
        <v>391</v>
      </c>
      <c r="E198" s="1" t="s">
        <v>323</v>
      </c>
    </row>
    <row r="199" spans="1:5" x14ac:dyDescent="0.2">
      <c r="A199" s="1" t="str">
        <f>"601012"</f>
        <v>601012</v>
      </c>
      <c r="B199" s="1" t="s">
        <v>199</v>
      </c>
      <c r="C199" s="1" t="s">
        <v>432</v>
      </c>
      <c r="D199" s="1" t="s">
        <v>509</v>
      </c>
      <c r="E199" s="1" t="s">
        <v>355</v>
      </c>
    </row>
    <row r="200" spans="1:5" x14ac:dyDescent="0.2">
      <c r="A200" s="1" t="str">
        <f>"601018"</f>
        <v>601018</v>
      </c>
      <c r="B200" s="1" t="s">
        <v>200</v>
      </c>
      <c r="C200" s="1" t="s">
        <v>457</v>
      </c>
      <c r="D200" s="1" t="s">
        <v>458</v>
      </c>
      <c r="E200" s="1" t="s">
        <v>364</v>
      </c>
    </row>
    <row r="201" spans="1:5" x14ac:dyDescent="0.2">
      <c r="A201" s="1" t="str">
        <f>"601021"</f>
        <v>601021</v>
      </c>
      <c r="B201" s="1" t="s">
        <v>201</v>
      </c>
      <c r="C201" s="1" t="s">
        <v>452</v>
      </c>
      <c r="D201" s="1" t="s">
        <v>463</v>
      </c>
      <c r="E201" s="1" t="s">
        <v>380</v>
      </c>
    </row>
    <row r="202" spans="1:5" x14ac:dyDescent="0.2">
      <c r="A202" s="1" t="str">
        <f>"601058"</f>
        <v>601058</v>
      </c>
      <c r="B202" s="1" t="s">
        <v>202</v>
      </c>
      <c r="C202" s="1" t="s">
        <v>326</v>
      </c>
      <c r="D202" s="1" t="s">
        <v>510</v>
      </c>
      <c r="E202" s="1" t="s">
        <v>328</v>
      </c>
    </row>
    <row r="203" spans="1:5" x14ac:dyDescent="0.2">
      <c r="A203" s="1" t="str">
        <f>"601059"</f>
        <v>601059</v>
      </c>
      <c r="B203" s="1" t="s">
        <v>203</v>
      </c>
      <c r="C203" s="1" t="s">
        <v>318</v>
      </c>
      <c r="D203" s="1" t="s">
        <v>319</v>
      </c>
      <c r="E203" s="1" t="s">
        <v>352</v>
      </c>
    </row>
    <row r="204" spans="1:5" x14ac:dyDescent="0.2">
      <c r="A204" s="1" t="str">
        <f>"601066"</f>
        <v>601066</v>
      </c>
      <c r="B204" s="1" t="s">
        <v>204</v>
      </c>
      <c r="C204" s="1" t="s">
        <v>318</v>
      </c>
      <c r="D204" s="1" t="s">
        <v>319</v>
      </c>
      <c r="E204" s="1" t="s">
        <v>352</v>
      </c>
    </row>
    <row r="205" spans="1:5" x14ac:dyDescent="0.2">
      <c r="A205" s="1" t="str">
        <f>"601077"</f>
        <v>601077</v>
      </c>
      <c r="B205" s="1" t="s">
        <v>205</v>
      </c>
      <c r="C205" s="1" t="s">
        <v>390</v>
      </c>
      <c r="D205" s="1" t="s">
        <v>511</v>
      </c>
      <c r="E205" s="1" t="s">
        <v>343</v>
      </c>
    </row>
    <row r="206" spans="1:5" x14ac:dyDescent="0.2">
      <c r="A206" s="1" t="str">
        <f>"601088"</f>
        <v>601088</v>
      </c>
      <c r="B206" s="1" t="s">
        <v>206</v>
      </c>
      <c r="C206" s="1" t="s">
        <v>478</v>
      </c>
      <c r="D206" s="1" t="s">
        <v>479</v>
      </c>
      <c r="E206" s="1" t="s">
        <v>352</v>
      </c>
    </row>
    <row r="207" spans="1:5" x14ac:dyDescent="0.2">
      <c r="A207" s="1" t="str">
        <f>"601100"</f>
        <v>601100</v>
      </c>
      <c r="B207" s="1" t="s">
        <v>207</v>
      </c>
      <c r="C207" s="1" t="s">
        <v>315</v>
      </c>
      <c r="D207" s="1" t="s">
        <v>512</v>
      </c>
      <c r="E207" s="1" t="s">
        <v>323</v>
      </c>
    </row>
    <row r="208" spans="1:5" x14ac:dyDescent="0.2">
      <c r="A208" s="1" t="str">
        <f>"601111"</f>
        <v>601111</v>
      </c>
      <c r="B208" s="1" t="s">
        <v>208</v>
      </c>
      <c r="C208" s="1" t="s">
        <v>452</v>
      </c>
      <c r="D208" s="1" t="s">
        <v>463</v>
      </c>
      <c r="E208" s="1" t="s">
        <v>352</v>
      </c>
    </row>
    <row r="209" spans="1:5" x14ac:dyDescent="0.2">
      <c r="A209" s="1" t="str">
        <f>"601117"</f>
        <v>601117</v>
      </c>
      <c r="B209" s="1" t="s">
        <v>209</v>
      </c>
      <c r="C209" s="1" t="s">
        <v>513</v>
      </c>
      <c r="D209" s="1" t="s">
        <v>514</v>
      </c>
      <c r="E209" s="1" t="s">
        <v>352</v>
      </c>
    </row>
    <row r="210" spans="1:5" x14ac:dyDescent="0.2">
      <c r="A210" s="1" t="str">
        <f>"601127"</f>
        <v>601127</v>
      </c>
      <c r="B210" s="1" t="s">
        <v>210</v>
      </c>
      <c r="C210" s="1" t="s">
        <v>341</v>
      </c>
      <c r="D210" s="1" t="s">
        <v>342</v>
      </c>
      <c r="E210" s="1" t="s">
        <v>343</v>
      </c>
    </row>
    <row r="211" spans="1:5" x14ac:dyDescent="0.2">
      <c r="A211" s="1" t="str">
        <f>"601136"</f>
        <v>601136</v>
      </c>
      <c r="B211" s="1" t="s">
        <v>211</v>
      </c>
      <c r="C211" s="1" t="s">
        <v>318</v>
      </c>
      <c r="D211" s="1" t="s">
        <v>319</v>
      </c>
      <c r="E211" s="1" t="s">
        <v>352</v>
      </c>
    </row>
    <row r="212" spans="1:5" x14ac:dyDescent="0.2">
      <c r="A212" s="1" t="str">
        <f>"601138"</f>
        <v>601138</v>
      </c>
      <c r="B212" s="1" t="s">
        <v>212</v>
      </c>
      <c r="C212" s="1" t="s">
        <v>399</v>
      </c>
      <c r="D212" s="1" t="s">
        <v>400</v>
      </c>
      <c r="E212" s="1" t="s">
        <v>307</v>
      </c>
    </row>
    <row r="213" spans="1:5" x14ac:dyDescent="0.2">
      <c r="A213" s="1" t="str">
        <f>"601166"</f>
        <v>601166</v>
      </c>
      <c r="B213" s="1" t="s">
        <v>213</v>
      </c>
      <c r="C213" s="1" t="s">
        <v>305</v>
      </c>
      <c r="D213" s="1" t="s">
        <v>306</v>
      </c>
      <c r="E213" s="1" t="s">
        <v>443</v>
      </c>
    </row>
    <row r="214" spans="1:5" x14ac:dyDescent="0.2">
      <c r="A214" s="1" t="str">
        <f>"601169"</f>
        <v>601169</v>
      </c>
      <c r="B214" s="1" t="s">
        <v>214</v>
      </c>
      <c r="C214" s="1" t="s">
        <v>390</v>
      </c>
      <c r="D214" s="1" t="s">
        <v>391</v>
      </c>
      <c r="E214" s="1" t="s">
        <v>352</v>
      </c>
    </row>
    <row r="215" spans="1:5" x14ac:dyDescent="0.2">
      <c r="A215" s="1" t="str">
        <f>"601186"</f>
        <v>601186</v>
      </c>
      <c r="B215" s="1" t="s">
        <v>215</v>
      </c>
      <c r="C215" s="1" t="s">
        <v>464</v>
      </c>
      <c r="D215" s="1" t="s">
        <v>465</v>
      </c>
      <c r="E215" s="1" t="s">
        <v>352</v>
      </c>
    </row>
    <row r="216" spans="1:5" x14ac:dyDescent="0.2">
      <c r="A216" s="1" t="str">
        <f>"601211"</f>
        <v>601211</v>
      </c>
      <c r="B216" s="1" t="s">
        <v>216</v>
      </c>
      <c r="C216" s="1" t="s">
        <v>318</v>
      </c>
      <c r="D216" s="1" t="s">
        <v>319</v>
      </c>
      <c r="E216" s="1" t="s">
        <v>380</v>
      </c>
    </row>
    <row r="217" spans="1:5" x14ac:dyDescent="0.2">
      <c r="A217" s="1" t="str">
        <f>"601225"</f>
        <v>601225</v>
      </c>
      <c r="B217" s="1" t="s">
        <v>217</v>
      </c>
      <c r="C217" s="1" t="s">
        <v>478</v>
      </c>
      <c r="D217" s="1" t="s">
        <v>479</v>
      </c>
      <c r="E217" s="1" t="s">
        <v>355</v>
      </c>
    </row>
    <row r="218" spans="1:5" x14ac:dyDescent="0.2">
      <c r="A218" s="1" t="str">
        <f>"601229"</f>
        <v>601229</v>
      </c>
      <c r="B218" s="1" t="s">
        <v>218</v>
      </c>
      <c r="C218" s="1" t="s">
        <v>390</v>
      </c>
      <c r="D218" s="1" t="s">
        <v>391</v>
      </c>
      <c r="E218" s="1" t="s">
        <v>380</v>
      </c>
    </row>
    <row r="219" spans="1:5" x14ac:dyDescent="0.2">
      <c r="A219" s="1" t="str">
        <f>"601238"</f>
        <v>601238</v>
      </c>
      <c r="B219" s="1" t="s">
        <v>219</v>
      </c>
      <c r="C219" s="1" t="s">
        <v>341</v>
      </c>
      <c r="D219" s="1" t="s">
        <v>342</v>
      </c>
      <c r="E219" s="1" t="s">
        <v>314</v>
      </c>
    </row>
    <row r="220" spans="1:5" x14ac:dyDescent="0.2">
      <c r="A220" s="1" t="str">
        <f>"601288"</f>
        <v>601288</v>
      </c>
      <c r="B220" s="1" t="s">
        <v>220</v>
      </c>
      <c r="C220" s="1" t="s">
        <v>305</v>
      </c>
      <c r="D220" s="1" t="s">
        <v>515</v>
      </c>
      <c r="E220" s="1" t="s">
        <v>352</v>
      </c>
    </row>
    <row r="221" spans="1:5" x14ac:dyDescent="0.2">
      <c r="A221" s="1" t="str">
        <f>"601318"</f>
        <v>601318</v>
      </c>
      <c r="B221" s="1" t="s">
        <v>221</v>
      </c>
      <c r="C221" s="1" t="s">
        <v>516</v>
      </c>
      <c r="D221" s="1" t="s">
        <v>517</v>
      </c>
      <c r="E221" s="1" t="s">
        <v>307</v>
      </c>
    </row>
    <row r="222" spans="1:5" x14ac:dyDescent="0.2">
      <c r="A222" s="1" t="str">
        <f>"601319"</f>
        <v>601319</v>
      </c>
      <c r="B222" s="1" t="s">
        <v>222</v>
      </c>
      <c r="C222" s="1" t="s">
        <v>516</v>
      </c>
      <c r="D222" s="1" t="s">
        <v>517</v>
      </c>
      <c r="E222" s="1" t="s">
        <v>352</v>
      </c>
    </row>
    <row r="223" spans="1:5" x14ac:dyDescent="0.2">
      <c r="A223" s="1" t="str">
        <f>"601328"</f>
        <v>601328</v>
      </c>
      <c r="B223" s="1" t="s">
        <v>223</v>
      </c>
      <c r="C223" s="1" t="s">
        <v>305</v>
      </c>
      <c r="D223" s="1" t="s">
        <v>515</v>
      </c>
      <c r="E223" s="1" t="s">
        <v>380</v>
      </c>
    </row>
    <row r="224" spans="1:5" x14ac:dyDescent="0.2">
      <c r="A224" s="1" t="str">
        <f>"601336"</f>
        <v>601336</v>
      </c>
      <c r="B224" s="1" t="s">
        <v>224</v>
      </c>
      <c r="C224" s="1" t="s">
        <v>516</v>
      </c>
      <c r="D224" s="1" t="s">
        <v>517</v>
      </c>
      <c r="E224" s="1" t="s">
        <v>352</v>
      </c>
    </row>
    <row r="225" spans="1:5" x14ac:dyDescent="0.2">
      <c r="A225" s="1" t="str">
        <f>"601360"</f>
        <v>601360</v>
      </c>
      <c r="B225" s="1" t="s">
        <v>225</v>
      </c>
      <c r="C225" s="1" t="s">
        <v>396</v>
      </c>
      <c r="D225" s="1" t="s">
        <v>518</v>
      </c>
      <c r="E225" s="1" t="s">
        <v>375</v>
      </c>
    </row>
    <row r="226" spans="1:5" x14ac:dyDescent="0.2">
      <c r="A226" s="1" t="str">
        <f>"601377"</f>
        <v>601377</v>
      </c>
      <c r="B226" s="1" t="s">
        <v>226</v>
      </c>
      <c r="C226" s="1" t="s">
        <v>318</v>
      </c>
      <c r="D226" s="1" t="s">
        <v>319</v>
      </c>
      <c r="E226" s="1" t="s">
        <v>443</v>
      </c>
    </row>
    <row r="227" spans="1:5" x14ac:dyDescent="0.2">
      <c r="A227" s="1" t="str">
        <f>"601390"</f>
        <v>601390</v>
      </c>
      <c r="B227" s="1" t="s">
        <v>227</v>
      </c>
      <c r="C227" s="1" t="s">
        <v>464</v>
      </c>
      <c r="D227" s="1" t="s">
        <v>465</v>
      </c>
      <c r="E227" s="1" t="s">
        <v>352</v>
      </c>
    </row>
    <row r="228" spans="1:5" x14ac:dyDescent="0.2">
      <c r="A228" s="1" t="str">
        <f>"601398"</f>
        <v>601398</v>
      </c>
      <c r="B228" s="1" t="s">
        <v>228</v>
      </c>
      <c r="C228" s="1" t="s">
        <v>305</v>
      </c>
      <c r="D228" s="1" t="s">
        <v>515</v>
      </c>
      <c r="E228" s="1" t="s">
        <v>352</v>
      </c>
    </row>
    <row r="229" spans="1:5" x14ac:dyDescent="0.2">
      <c r="A229" s="1" t="str">
        <f>"601456"</f>
        <v>601456</v>
      </c>
      <c r="B229" s="1" t="s">
        <v>229</v>
      </c>
      <c r="C229" s="1" t="s">
        <v>318</v>
      </c>
      <c r="D229" s="1" t="s">
        <v>319</v>
      </c>
      <c r="E229" s="1" t="s">
        <v>323</v>
      </c>
    </row>
    <row r="230" spans="1:5" x14ac:dyDescent="0.2">
      <c r="A230" s="1" t="str">
        <f>"601600"</f>
        <v>601600</v>
      </c>
      <c r="B230" s="1" t="s">
        <v>230</v>
      </c>
      <c r="C230" s="1" t="s">
        <v>344</v>
      </c>
      <c r="D230" s="1" t="s">
        <v>356</v>
      </c>
      <c r="E230" s="1" t="s">
        <v>352</v>
      </c>
    </row>
    <row r="231" spans="1:5" x14ac:dyDescent="0.2">
      <c r="A231" s="1" t="str">
        <f>"601601"</f>
        <v>601601</v>
      </c>
      <c r="B231" s="1" t="s">
        <v>231</v>
      </c>
      <c r="C231" s="1" t="s">
        <v>516</v>
      </c>
      <c r="D231" s="1" t="s">
        <v>517</v>
      </c>
      <c r="E231" s="1" t="s">
        <v>380</v>
      </c>
    </row>
    <row r="232" spans="1:5" x14ac:dyDescent="0.2">
      <c r="A232" s="1" t="str">
        <f>"601607"</f>
        <v>601607</v>
      </c>
      <c r="B232" s="1" t="s">
        <v>232</v>
      </c>
      <c r="C232" s="1" t="s">
        <v>519</v>
      </c>
      <c r="D232" s="1" t="s">
        <v>520</v>
      </c>
      <c r="E232" s="1" t="s">
        <v>380</v>
      </c>
    </row>
    <row r="233" spans="1:5" x14ac:dyDescent="0.2">
      <c r="A233" s="1" t="str">
        <f>"601618"</f>
        <v>601618</v>
      </c>
      <c r="B233" s="1" t="s">
        <v>233</v>
      </c>
      <c r="C233" s="1" t="s">
        <v>513</v>
      </c>
      <c r="D233" s="1" t="s">
        <v>521</v>
      </c>
      <c r="E233" s="1" t="s">
        <v>352</v>
      </c>
    </row>
    <row r="234" spans="1:5" x14ac:dyDescent="0.2">
      <c r="A234" s="1" t="str">
        <f>"601628"</f>
        <v>601628</v>
      </c>
      <c r="B234" s="1" t="s">
        <v>234</v>
      </c>
      <c r="C234" s="1" t="s">
        <v>516</v>
      </c>
      <c r="D234" s="1" t="s">
        <v>517</v>
      </c>
      <c r="E234" s="1" t="s">
        <v>352</v>
      </c>
    </row>
    <row r="235" spans="1:5" x14ac:dyDescent="0.2">
      <c r="A235" s="1" t="str">
        <f>"601633"</f>
        <v>601633</v>
      </c>
      <c r="B235" s="1" t="s">
        <v>235</v>
      </c>
      <c r="C235" s="1" t="s">
        <v>341</v>
      </c>
      <c r="D235" s="1" t="s">
        <v>342</v>
      </c>
      <c r="E235" s="1" t="s">
        <v>385</v>
      </c>
    </row>
    <row r="236" spans="1:5" x14ac:dyDescent="0.2">
      <c r="A236" s="1" t="str">
        <f>"601658"</f>
        <v>601658</v>
      </c>
      <c r="B236" s="1" t="s">
        <v>236</v>
      </c>
      <c r="C236" s="1" t="s">
        <v>305</v>
      </c>
      <c r="D236" s="1" t="s">
        <v>515</v>
      </c>
      <c r="E236" s="1" t="s">
        <v>352</v>
      </c>
    </row>
    <row r="237" spans="1:5" x14ac:dyDescent="0.2">
      <c r="A237" s="1" t="str">
        <f>"601668"</f>
        <v>601668</v>
      </c>
      <c r="B237" s="1" t="s">
        <v>237</v>
      </c>
      <c r="C237" s="1" t="s">
        <v>522</v>
      </c>
      <c r="D237" s="1" t="s">
        <v>523</v>
      </c>
      <c r="E237" s="1" t="s">
        <v>352</v>
      </c>
    </row>
    <row r="238" spans="1:5" x14ac:dyDescent="0.2">
      <c r="A238" s="1" t="str">
        <f>"601669"</f>
        <v>601669</v>
      </c>
      <c r="B238" s="1" t="s">
        <v>238</v>
      </c>
      <c r="C238" s="1" t="s">
        <v>464</v>
      </c>
      <c r="D238" s="1" t="s">
        <v>465</v>
      </c>
      <c r="E238" s="1" t="s">
        <v>352</v>
      </c>
    </row>
    <row r="239" spans="1:5" x14ac:dyDescent="0.2">
      <c r="A239" s="1" t="str">
        <f>"601688"</f>
        <v>601688</v>
      </c>
      <c r="B239" s="1" t="s">
        <v>239</v>
      </c>
      <c r="C239" s="1" t="s">
        <v>318</v>
      </c>
      <c r="D239" s="1" t="s">
        <v>319</v>
      </c>
      <c r="E239" s="1" t="s">
        <v>323</v>
      </c>
    </row>
    <row r="240" spans="1:5" x14ac:dyDescent="0.2">
      <c r="A240" s="1" t="str">
        <f>"601689"</f>
        <v>601689</v>
      </c>
      <c r="B240" s="1" t="s">
        <v>240</v>
      </c>
      <c r="C240" s="1" t="s">
        <v>326</v>
      </c>
      <c r="D240" s="1" t="s">
        <v>495</v>
      </c>
      <c r="E240" s="1" t="s">
        <v>364</v>
      </c>
    </row>
    <row r="241" spans="1:5" x14ac:dyDescent="0.2">
      <c r="A241" s="1" t="str">
        <f>"601698"</f>
        <v>601698</v>
      </c>
      <c r="B241" s="1" t="s">
        <v>241</v>
      </c>
      <c r="C241" s="1" t="s">
        <v>471</v>
      </c>
      <c r="D241" s="1" t="s">
        <v>472</v>
      </c>
      <c r="E241" s="1" t="s">
        <v>352</v>
      </c>
    </row>
    <row r="242" spans="1:5" x14ac:dyDescent="0.2">
      <c r="A242" s="1" t="str">
        <f>"601727"</f>
        <v>601727</v>
      </c>
      <c r="B242" s="1" t="s">
        <v>242</v>
      </c>
      <c r="C242" s="1" t="s">
        <v>500</v>
      </c>
      <c r="D242" s="1" t="s">
        <v>501</v>
      </c>
      <c r="E242" s="1" t="s">
        <v>380</v>
      </c>
    </row>
    <row r="243" spans="1:5" x14ac:dyDescent="0.2">
      <c r="A243" s="1" t="str">
        <f>"601728"</f>
        <v>601728</v>
      </c>
      <c r="B243" s="1" t="s">
        <v>243</v>
      </c>
      <c r="C243" s="1" t="s">
        <v>466</v>
      </c>
      <c r="D243" s="1" t="s">
        <v>467</v>
      </c>
      <c r="E243" s="1" t="s">
        <v>352</v>
      </c>
    </row>
    <row r="244" spans="1:5" x14ac:dyDescent="0.2">
      <c r="A244" s="1" t="str">
        <f>"601766"</f>
        <v>601766</v>
      </c>
      <c r="B244" s="1" t="s">
        <v>244</v>
      </c>
      <c r="C244" s="1" t="s">
        <v>524</v>
      </c>
      <c r="D244" s="1" t="s">
        <v>525</v>
      </c>
      <c r="E244" s="1" t="s">
        <v>352</v>
      </c>
    </row>
    <row r="245" spans="1:5" x14ac:dyDescent="0.2">
      <c r="A245" s="1" t="str">
        <f>"601788"</f>
        <v>601788</v>
      </c>
      <c r="B245" s="1" t="s">
        <v>245</v>
      </c>
      <c r="C245" s="1" t="s">
        <v>318</v>
      </c>
      <c r="D245" s="1" t="s">
        <v>319</v>
      </c>
      <c r="E245" s="1" t="s">
        <v>380</v>
      </c>
    </row>
    <row r="246" spans="1:5" x14ac:dyDescent="0.2">
      <c r="A246" s="1" t="str">
        <f>"601800"</f>
        <v>601800</v>
      </c>
      <c r="B246" s="1" t="s">
        <v>246</v>
      </c>
      <c r="C246" s="1" t="s">
        <v>464</v>
      </c>
      <c r="D246" s="1" t="s">
        <v>465</v>
      </c>
      <c r="E246" s="1" t="s">
        <v>352</v>
      </c>
    </row>
    <row r="247" spans="1:5" x14ac:dyDescent="0.2">
      <c r="A247" s="1" t="str">
        <f>"601816"</f>
        <v>601816</v>
      </c>
      <c r="B247" s="1" t="s">
        <v>247</v>
      </c>
      <c r="C247" s="1" t="s">
        <v>373</v>
      </c>
      <c r="D247" s="1" t="s">
        <v>508</v>
      </c>
      <c r="E247" s="1" t="s">
        <v>352</v>
      </c>
    </row>
    <row r="248" spans="1:5" x14ac:dyDescent="0.2">
      <c r="A248" s="1" t="str">
        <f>"601818"</f>
        <v>601818</v>
      </c>
      <c r="B248" s="1" t="s">
        <v>248</v>
      </c>
      <c r="C248" s="1" t="s">
        <v>305</v>
      </c>
      <c r="D248" s="1" t="s">
        <v>306</v>
      </c>
      <c r="E248" s="1" t="s">
        <v>352</v>
      </c>
    </row>
    <row r="249" spans="1:5" x14ac:dyDescent="0.2">
      <c r="A249" s="1" t="str">
        <f>"601825"</f>
        <v>601825</v>
      </c>
      <c r="B249" s="1" t="s">
        <v>249</v>
      </c>
      <c r="C249" s="1" t="s">
        <v>390</v>
      </c>
      <c r="D249" s="1" t="s">
        <v>511</v>
      </c>
      <c r="E249" s="1" t="s">
        <v>380</v>
      </c>
    </row>
    <row r="250" spans="1:5" x14ac:dyDescent="0.2">
      <c r="A250" s="1" t="str">
        <f>"601838"</f>
        <v>601838</v>
      </c>
      <c r="B250" s="1" t="s">
        <v>250</v>
      </c>
      <c r="C250" s="1" t="s">
        <v>390</v>
      </c>
      <c r="D250" s="1" t="s">
        <v>391</v>
      </c>
      <c r="E250" s="1" t="s">
        <v>337</v>
      </c>
    </row>
    <row r="251" spans="1:5" x14ac:dyDescent="0.2">
      <c r="A251" s="1" t="str">
        <f>"601857"</f>
        <v>601857</v>
      </c>
      <c r="B251" s="1" t="s">
        <v>251</v>
      </c>
      <c r="C251" s="1" t="s">
        <v>505</v>
      </c>
      <c r="D251" s="1" t="s">
        <v>506</v>
      </c>
      <c r="E251" s="1" t="s">
        <v>352</v>
      </c>
    </row>
    <row r="252" spans="1:5" x14ac:dyDescent="0.2">
      <c r="A252" s="1" t="str">
        <f>"601868"</f>
        <v>601868</v>
      </c>
      <c r="B252" s="1" t="s">
        <v>252</v>
      </c>
      <c r="C252" s="1" t="s">
        <v>464</v>
      </c>
      <c r="D252" s="1" t="s">
        <v>465</v>
      </c>
      <c r="E252" s="1" t="s">
        <v>352</v>
      </c>
    </row>
    <row r="253" spans="1:5" x14ac:dyDescent="0.2">
      <c r="A253" s="1" t="str">
        <f>"601872"</f>
        <v>601872</v>
      </c>
      <c r="B253" s="1" t="s">
        <v>253</v>
      </c>
      <c r="C253" s="1" t="s">
        <v>457</v>
      </c>
      <c r="D253" s="1" t="s">
        <v>460</v>
      </c>
      <c r="E253" s="1" t="s">
        <v>380</v>
      </c>
    </row>
    <row r="254" spans="1:5" x14ac:dyDescent="0.2">
      <c r="A254" s="1" t="str">
        <f>"601877"</f>
        <v>601877</v>
      </c>
      <c r="B254" s="1" t="s">
        <v>254</v>
      </c>
      <c r="C254" s="1" t="s">
        <v>381</v>
      </c>
      <c r="D254" s="1" t="s">
        <v>526</v>
      </c>
      <c r="E254" s="1" t="s">
        <v>364</v>
      </c>
    </row>
    <row r="255" spans="1:5" x14ac:dyDescent="0.2">
      <c r="A255" s="1" t="str">
        <f>"601878"</f>
        <v>601878</v>
      </c>
      <c r="B255" s="1" t="s">
        <v>255</v>
      </c>
      <c r="C255" s="1" t="s">
        <v>318</v>
      </c>
      <c r="D255" s="1" t="s">
        <v>319</v>
      </c>
      <c r="E255" s="1" t="s">
        <v>364</v>
      </c>
    </row>
    <row r="256" spans="1:5" x14ac:dyDescent="0.2">
      <c r="A256" s="1" t="str">
        <f>"601881"</f>
        <v>601881</v>
      </c>
      <c r="B256" s="1" t="s">
        <v>256</v>
      </c>
      <c r="C256" s="1" t="s">
        <v>318</v>
      </c>
      <c r="D256" s="1" t="s">
        <v>319</v>
      </c>
      <c r="E256" s="1" t="s">
        <v>352</v>
      </c>
    </row>
    <row r="257" spans="1:5" x14ac:dyDescent="0.2">
      <c r="A257" s="1" t="str">
        <f>"601888"</f>
        <v>601888</v>
      </c>
      <c r="B257" s="1" t="s">
        <v>257</v>
      </c>
      <c r="C257" s="1" t="s">
        <v>527</v>
      </c>
      <c r="D257" s="1" t="s">
        <v>528</v>
      </c>
      <c r="E257" s="1" t="s">
        <v>352</v>
      </c>
    </row>
    <row r="258" spans="1:5" x14ac:dyDescent="0.2">
      <c r="A258" s="1" t="str">
        <f>"601898"</f>
        <v>601898</v>
      </c>
      <c r="B258" s="1" t="s">
        <v>258</v>
      </c>
      <c r="C258" s="1" t="s">
        <v>478</v>
      </c>
      <c r="D258" s="1" t="s">
        <v>479</v>
      </c>
      <c r="E258" s="1" t="s">
        <v>352</v>
      </c>
    </row>
    <row r="259" spans="1:5" x14ac:dyDescent="0.2">
      <c r="A259" s="1" t="str">
        <f>"601899"</f>
        <v>601899</v>
      </c>
      <c r="B259" s="1" t="s">
        <v>259</v>
      </c>
      <c r="C259" s="1" t="s">
        <v>344</v>
      </c>
      <c r="D259" s="1" t="s">
        <v>345</v>
      </c>
      <c r="E259" s="1" t="s">
        <v>443</v>
      </c>
    </row>
    <row r="260" spans="1:5" x14ac:dyDescent="0.2">
      <c r="A260" s="1" t="str">
        <f>"601901"</f>
        <v>601901</v>
      </c>
      <c r="B260" s="1" t="s">
        <v>260</v>
      </c>
      <c r="C260" s="1" t="s">
        <v>318</v>
      </c>
      <c r="D260" s="1" t="s">
        <v>319</v>
      </c>
      <c r="E260" s="1" t="s">
        <v>317</v>
      </c>
    </row>
    <row r="261" spans="1:5" x14ac:dyDescent="0.2">
      <c r="A261" s="1" t="str">
        <f>"601916"</f>
        <v>601916</v>
      </c>
      <c r="B261" s="1" t="s">
        <v>261</v>
      </c>
      <c r="C261" s="1" t="s">
        <v>305</v>
      </c>
      <c r="D261" s="1" t="s">
        <v>306</v>
      </c>
      <c r="E261" s="1" t="s">
        <v>364</v>
      </c>
    </row>
    <row r="262" spans="1:5" x14ac:dyDescent="0.2">
      <c r="A262" s="1" t="str">
        <f>"601919"</f>
        <v>601919</v>
      </c>
      <c r="B262" s="1" t="s">
        <v>262</v>
      </c>
      <c r="C262" s="1" t="s">
        <v>457</v>
      </c>
      <c r="D262" s="1" t="s">
        <v>460</v>
      </c>
      <c r="E262" s="1" t="s">
        <v>375</v>
      </c>
    </row>
    <row r="263" spans="1:5" x14ac:dyDescent="0.2">
      <c r="A263" s="1" t="str">
        <f>"601939"</f>
        <v>601939</v>
      </c>
      <c r="B263" s="1" t="s">
        <v>263</v>
      </c>
      <c r="C263" s="1" t="s">
        <v>305</v>
      </c>
      <c r="D263" s="1" t="s">
        <v>515</v>
      </c>
      <c r="E263" s="1" t="s">
        <v>352</v>
      </c>
    </row>
    <row r="264" spans="1:5" x14ac:dyDescent="0.2">
      <c r="A264" s="1" t="str">
        <f>"601985"</f>
        <v>601985</v>
      </c>
      <c r="B264" s="1" t="s">
        <v>264</v>
      </c>
      <c r="C264" s="1" t="s">
        <v>422</v>
      </c>
      <c r="D264" s="1" t="s">
        <v>423</v>
      </c>
      <c r="E264" s="1" t="s">
        <v>352</v>
      </c>
    </row>
    <row r="265" spans="1:5" x14ac:dyDescent="0.2">
      <c r="A265" s="1" t="str">
        <f>"601988"</f>
        <v>601988</v>
      </c>
      <c r="B265" s="1" t="s">
        <v>265</v>
      </c>
      <c r="C265" s="1" t="s">
        <v>305</v>
      </c>
      <c r="D265" s="1" t="s">
        <v>515</v>
      </c>
      <c r="E265" s="1" t="s">
        <v>352</v>
      </c>
    </row>
    <row r="266" spans="1:5" x14ac:dyDescent="0.2">
      <c r="A266" s="1" t="str">
        <f>"601995"</f>
        <v>601995</v>
      </c>
      <c r="B266" s="1" t="s">
        <v>266</v>
      </c>
      <c r="C266" s="1" t="s">
        <v>318</v>
      </c>
      <c r="D266" s="1" t="s">
        <v>319</v>
      </c>
      <c r="E266" s="1" t="s">
        <v>352</v>
      </c>
    </row>
    <row r="267" spans="1:5" x14ac:dyDescent="0.2">
      <c r="A267" s="1" t="str">
        <f>"601998"</f>
        <v>601998</v>
      </c>
      <c r="B267" s="1" t="s">
        <v>267</v>
      </c>
      <c r="C267" s="1" t="s">
        <v>305</v>
      </c>
      <c r="D267" s="1" t="s">
        <v>306</v>
      </c>
      <c r="E267" s="1" t="s">
        <v>352</v>
      </c>
    </row>
    <row r="268" spans="1:5" x14ac:dyDescent="0.2">
      <c r="A268" s="1" t="str">
        <f>"603019"</f>
        <v>603019</v>
      </c>
      <c r="B268" s="1" t="s">
        <v>268</v>
      </c>
      <c r="C268" s="1" t="s">
        <v>360</v>
      </c>
      <c r="D268" s="1" t="s">
        <v>361</v>
      </c>
      <c r="E268" s="1" t="s">
        <v>375</v>
      </c>
    </row>
    <row r="269" spans="1:5" x14ac:dyDescent="0.2">
      <c r="A269" s="1" t="str">
        <f>"603259"</f>
        <v>603259</v>
      </c>
      <c r="B269" s="1" t="s">
        <v>269</v>
      </c>
      <c r="C269" s="1" t="s">
        <v>424</v>
      </c>
      <c r="D269" s="1" t="s">
        <v>529</v>
      </c>
      <c r="E269" s="1" t="s">
        <v>323</v>
      </c>
    </row>
    <row r="270" spans="1:5" x14ac:dyDescent="0.2">
      <c r="A270" s="1" t="str">
        <f>"603260"</f>
        <v>603260</v>
      </c>
      <c r="B270" s="1" t="s">
        <v>270</v>
      </c>
      <c r="C270" s="1" t="s">
        <v>376</v>
      </c>
      <c r="D270" s="1" t="s">
        <v>530</v>
      </c>
      <c r="E270" s="1" t="s">
        <v>364</v>
      </c>
    </row>
    <row r="271" spans="1:5" x14ac:dyDescent="0.2">
      <c r="A271" s="1" t="str">
        <f>"603288"</f>
        <v>603288</v>
      </c>
      <c r="B271" s="1" t="s">
        <v>271</v>
      </c>
      <c r="C271" s="1" t="s">
        <v>531</v>
      </c>
      <c r="D271" s="1" t="s">
        <v>532</v>
      </c>
      <c r="E271" s="1" t="s">
        <v>314</v>
      </c>
    </row>
    <row r="272" spans="1:5" x14ac:dyDescent="0.2">
      <c r="A272" s="1" t="str">
        <f>"603296"</f>
        <v>603296</v>
      </c>
      <c r="B272" s="1" t="s">
        <v>272</v>
      </c>
      <c r="C272" s="1" t="s">
        <v>399</v>
      </c>
      <c r="D272" s="1" t="s">
        <v>400</v>
      </c>
      <c r="E272" s="1" t="s">
        <v>380</v>
      </c>
    </row>
    <row r="273" spans="1:5" x14ac:dyDescent="0.2">
      <c r="A273" s="1" t="str">
        <f>"603369"</f>
        <v>603369</v>
      </c>
      <c r="B273" s="1" t="s">
        <v>273</v>
      </c>
      <c r="C273" s="1" t="s">
        <v>335</v>
      </c>
      <c r="D273" s="1" t="s">
        <v>336</v>
      </c>
      <c r="E273" s="1" t="s">
        <v>323</v>
      </c>
    </row>
    <row r="274" spans="1:5" x14ac:dyDescent="0.2">
      <c r="A274" s="1" t="str">
        <f>"603392"</f>
        <v>603392</v>
      </c>
      <c r="B274" s="1" t="s">
        <v>274</v>
      </c>
      <c r="C274" s="1" t="s">
        <v>427</v>
      </c>
      <c r="D274" s="1" t="s">
        <v>428</v>
      </c>
      <c r="E274" s="1" t="s">
        <v>352</v>
      </c>
    </row>
    <row r="275" spans="1:5" x14ac:dyDescent="0.2">
      <c r="A275" s="1" t="str">
        <f>"603501"</f>
        <v>603501</v>
      </c>
      <c r="B275" s="1" t="s">
        <v>275</v>
      </c>
      <c r="C275" s="1" t="s">
        <v>383</v>
      </c>
      <c r="D275" s="1" t="s">
        <v>384</v>
      </c>
      <c r="E275" s="1" t="s">
        <v>380</v>
      </c>
    </row>
    <row r="276" spans="1:5" x14ac:dyDescent="0.2">
      <c r="A276" s="1" t="str">
        <f>"603799"</f>
        <v>603799</v>
      </c>
      <c r="B276" s="1" t="s">
        <v>276</v>
      </c>
      <c r="C276" s="1" t="s">
        <v>409</v>
      </c>
      <c r="D276" s="1" t="s">
        <v>533</v>
      </c>
      <c r="E276" s="1" t="s">
        <v>364</v>
      </c>
    </row>
    <row r="277" spans="1:5" x14ac:dyDescent="0.2">
      <c r="A277" s="1" t="str">
        <f>"603893"</f>
        <v>603893</v>
      </c>
      <c r="B277" s="1" t="s">
        <v>277</v>
      </c>
      <c r="C277" s="1" t="s">
        <v>383</v>
      </c>
      <c r="D277" s="1" t="s">
        <v>384</v>
      </c>
      <c r="E277" s="1" t="s">
        <v>443</v>
      </c>
    </row>
    <row r="278" spans="1:5" x14ac:dyDescent="0.2">
      <c r="A278" s="1" t="str">
        <f>"603986"</f>
        <v>603986</v>
      </c>
      <c r="B278" s="1" t="s">
        <v>278</v>
      </c>
      <c r="C278" s="1" t="s">
        <v>383</v>
      </c>
      <c r="D278" s="1" t="s">
        <v>384</v>
      </c>
      <c r="E278" s="1" t="s">
        <v>352</v>
      </c>
    </row>
    <row r="279" spans="1:5" x14ac:dyDescent="0.2">
      <c r="A279" s="1" t="str">
        <f>"603993"</f>
        <v>603993</v>
      </c>
      <c r="B279" s="1" t="s">
        <v>279</v>
      </c>
      <c r="C279" s="1" t="s">
        <v>346</v>
      </c>
      <c r="D279" s="1" t="s">
        <v>347</v>
      </c>
      <c r="E279" s="1" t="s">
        <v>359</v>
      </c>
    </row>
    <row r="280" spans="1:5" x14ac:dyDescent="0.2">
      <c r="A280" s="1" t="str">
        <f>"605117"</f>
        <v>605117</v>
      </c>
      <c r="B280" s="1" t="s">
        <v>280</v>
      </c>
      <c r="C280" s="1" t="s">
        <v>432</v>
      </c>
      <c r="D280" s="1" t="s">
        <v>433</v>
      </c>
      <c r="E280" s="1" t="s">
        <v>364</v>
      </c>
    </row>
    <row r="281" spans="1:5" x14ac:dyDescent="0.2">
      <c r="A281" s="1" t="str">
        <f>"605499"</f>
        <v>605499</v>
      </c>
      <c r="B281" s="1" t="s">
        <v>281</v>
      </c>
      <c r="C281" s="1" t="s">
        <v>502</v>
      </c>
      <c r="D281" s="1" t="s">
        <v>534</v>
      </c>
      <c r="E281" s="1" t="s">
        <v>307</v>
      </c>
    </row>
    <row r="282" spans="1:5" x14ac:dyDescent="0.2">
      <c r="A282" s="1" t="str">
        <f>"688008"</f>
        <v>688008</v>
      </c>
      <c r="B282" s="1" t="s">
        <v>282</v>
      </c>
      <c r="C282" s="1" t="s">
        <v>383</v>
      </c>
      <c r="D282" s="1" t="s">
        <v>384</v>
      </c>
      <c r="E282" s="1" t="s">
        <v>380</v>
      </c>
    </row>
    <row r="283" spans="1:5" x14ac:dyDescent="0.2">
      <c r="A283" s="1" t="str">
        <f>"688009"</f>
        <v>688009</v>
      </c>
      <c r="B283" s="1" t="s">
        <v>283</v>
      </c>
      <c r="C283" s="1" t="s">
        <v>524</v>
      </c>
      <c r="D283" s="1" t="s">
        <v>525</v>
      </c>
      <c r="E283" s="1" t="s">
        <v>352</v>
      </c>
    </row>
    <row r="284" spans="1:5" x14ac:dyDescent="0.2">
      <c r="A284" s="1" t="str">
        <f>"688012"</f>
        <v>688012</v>
      </c>
      <c r="B284" s="1" t="s">
        <v>284</v>
      </c>
      <c r="C284" s="1" t="s">
        <v>383</v>
      </c>
      <c r="D284" s="1" t="s">
        <v>406</v>
      </c>
      <c r="E284" s="1" t="s">
        <v>380</v>
      </c>
    </row>
    <row r="285" spans="1:5" x14ac:dyDescent="0.2">
      <c r="A285" s="1" t="str">
        <f>"688036"</f>
        <v>688036</v>
      </c>
      <c r="B285" s="1" t="s">
        <v>285</v>
      </c>
      <c r="C285" s="1" t="s">
        <v>399</v>
      </c>
      <c r="D285" s="1" t="s">
        <v>447</v>
      </c>
      <c r="E285" s="1" t="s">
        <v>307</v>
      </c>
    </row>
    <row r="286" spans="1:5" x14ac:dyDescent="0.2">
      <c r="A286" s="1" t="str">
        <f>"688041"</f>
        <v>688041</v>
      </c>
      <c r="B286" s="1" t="s">
        <v>286</v>
      </c>
      <c r="C286" s="1" t="s">
        <v>383</v>
      </c>
      <c r="D286" s="1" t="s">
        <v>384</v>
      </c>
      <c r="E286" s="1" t="s">
        <v>375</v>
      </c>
    </row>
    <row r="287" spans="1:5" x14ac:dyDescent="0.2">
      <c r="A287" s="1" t="str">
        <f>"688047"</f>
        <v>688047</v>
      </c>
      <c r="B287" s="1" t="s">
        <v>287</v>
      </c>
      <c r="C287" s="1" t="s">
        <v>383</v>
      </c>
      <c r="D287" s="1" t="s">
        <v>384</v>
      </c>
      <c r="E287" s="1" t="s">
        <v>352</v>
      </c>
    </row>
    <row r="288" spans="1:5" x14ac:dyDescent="0.2">
      <c r="A288" s="1" t="str">
        <f>"688072"</f>
        <v>688072</v>
      </c>
      <c r="B288" s="1" t="s">
        <v>288</v>
      </c>
      <c r="C288" s="1" t="s">
        <v>383</v>
      </c>
      <c r="D288" s="1" t="s">
        <v>406</v>
      </c>
      <c r="E288" s="1" t="s">
        <v>480</v>
      </c>
    </row>
    <row r="289" spans="1:5" x14ac:dyDescent="0.2">
      <c r="A289" s="1" t="str">
        <f>"688082"</f>
        <v>688082</v>
      </c>
      <c r="B289" s="1" t="s">
        <v>289</v>
      </c>
      <c r="C289" s="1" t="s">
        <v>383</v>
      </c>
      <c r="D289" s="1" t="s">
        <v>406</v>
      </c>
      <c r="E289" s="1" t="s">
        <v>380</v>
      </c>
    </row>
    <row r="290" spans="1:5" x14ac:dyDescent="0.2">
      <c r="A290" s="1" t="str">
        <f>"688111"</f>
        <v>688111</v>
      </c>
      <c r="B290" s="1" t="s">
        <v>290</v>
      </c>
      <c r="C290" s="1" t="s">
        <v>439</v>
      </c>
      <c r="D290" s="1" t="s">
        <v>493</v>
      </c>
      <c r="E290" s="1" t="s">
        <v>352</v>
      </c>
    </row>
    <row r="291" spans="1:5" x14ac:dyDescent="0.2">
      <c r="A291" s="1" t="str">
        <f>"688126"</f>
        <v>688126</v>
      </c>
      <c r="B291" s="1" t="s">
        <v>291</v>
      </c>
      <c r="C291" s="1" t="s">
        <v>383</v>
      </c>
      <c r="D291" s="1" t="s">
        <v>535</v>
      </c>
      <c r="E291" s="1" t="s">
        <v>380</v>
      </c>
    </row>
    <row r="292" spans="1:5" x14ac:dyDescent="0.2">
      <c r="A292" s="1" t="str">
        <f>"688183"</f>
        <v>688183</v>
      </c>
      <c r="B292" s="1" t="s">
        <v>292</v>
      </c>
      <c r="C292" s="1" t="s">
        <v>407</v>
      </c>
      <c r="D292" s="1" t="s">
        <v>408</v>
      </c>
      <c r="E292" s="1" t="s">
        <v>314</v>
      </c>
    </row>
    <row r="293" spans="1:5" x14ac:dyDescent="0.2">
      <c r="A293" s="1" t="str">
        <f>"688223"</f>
        <v>688223</v>
      </c>
      <c r="B293" s="1" t="s">
        <v>293</v>
      </c>
      <c r="C293" s="1" t="s">
        <v>432</v>
      </c>
      <c r="D293" s="1" t="s">
        <v>509</v>
      </c>
      <c r="E293" s="1" t="s">
        <v>411</v>
      </c>
    </row>
    <row r="294" spans="1:5" x14ac:dyDescent="0.2">
      <c r="A294" s="1" t="str">
        <f>"688256"</f>
        <v>688256</v>
      </c>
      <c r="B294" s="1" t="s">
        <v>294</v>
      </c>
      <c r="C294" s="1" t="s">
        <v>383</v>
      </c>
      <c r="D294" s="1" t="s">
        <v>384</v>
      </c>
      <c r="E294" s="1" t="s">
        <v>352</v>
      </c>
    </row>
    <row r="295" spans="1:5" x14ac:dyDescent="0.2">
      <c r="A295" s="1" t="str">
        <f>"688271"</f>
        <v>688271</v>
      </c>
      <c r="B295" s="1" t="s">
        <v>295</v>
      </c>
      <c r="C295" s="1" t="s">
        <v>444</v>
      </c>
      <c r="D295" s="1" t="s">
        <v>445</v>
      </c>
      <c r="E295" s="1" t="s">
        <v>380</v>
      </c>
    </row>
    <row r="296" spans="1:5" x14ac:dyDescent="0.2">
      <c r="A296" s="1" t="str">
        <f>"688303"</f>
        <v>688303</v>
      </c>
      <c r="B296" s="1" t="s">
        <v>296</v>
      </c>
      <c r="C296" s="1" t="s">
        <v>432</v>
      </c>
      <c r="D296" s="1" t="s">
        <v>486</v>
      </c>
      <c r="E296" s="1" t="s">
        <v>320</v>
      </c>
    </row>
    <row r="297" spans="1:5" x14ac:dyDescent="0.2">
      <c r="A297" s="1" t="str">
        <f>"688396"</f>
        <v>688396</v>
      </c>
      <c r="B297" s="1" t="s">
        <v>297</v>
      </c>
      <c r="C297" s="1" t="s">
        <v>383</v>
      </c>
      <c r="D297" s="1" t="s">
        <v>487</v>
      </c>
      <c r="E297" s="1" t="s">
        <v>323</v>
      </c>
    </row>
    <row r="298" spans="1:5" x14ac:dyDescent="0.2">
      <c r="A298" s="1" t="str">
        <f>"688472"</f>
        <v>688472</v>
      </c>
      <c r="B298" s="1" t="s">
        <v>298</v>
      </c>
      <c r="C298" s="1" t="s">
        <v>432</v>
      </c>
      <c r="D298" s="1" t="s">
        <v>509</v>
      </c>
      <c r="E298" s="1" t="s">
        <v>323</v>
      </c>
    </row>
    <row r="299" spans="1:5" x14ac:dyDescent="0.2">
      <c r="A299" s="1" t="str">
        <f>"688506"</f>
        <v>688506</v>
      </c>
      <c r="B299" s="1" t="s">
        <v>299</v>
      </c>
      <c r="C299" s="1" t="s">
        <v>362</v>
      </c>
      <c r="D299" s="1" t="s">
        <v>363</v>
      </c>
      <c r="E299" s="1" t="s">
        <v>337</v>
      </c>
    </row>
    <row r="300" spans="1:5" x14ac:dyDescent="0.2">
      <c r="A300" s="1" t="str">
        <f>"688521"</f>
        <v>688521</v>
      </c>
      <c r="B300" s="1" t="s">
        <v>300</v>
      </c>
      <c r="C300" s="1" t="s">
        <v>383</v>
      </c>
      <c r="D300" s="1" t="s">
        <v>384</v>
      </c>
      <c r="E300" s="1" t="s">
        <v>380</v>
      </c>
    </row>
    <row r="301" spans="1:5" x14ac:dyDescent="0.2">
      <c r="A301" s="1" t="str">
        <f>"688981"</f>
        <v>688981</v>
      </c>
      <c r="B301" s="1" t="s">
        <v>301</v>
      </c>
      <c r="C301" s="1" t="s">
        <v>383</v>
      </c>
      <c r="D301" s="1" t="s">
        <v>536</v>
      </c>
      <c r="E301" s="1" t="s">
        <v>380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Kerwin Liu</dc:creator>
  <cp:lastModifiedBy>Kerwin Liu</cp:lastModifiedBy>
  <dcterms:created xsi:type="dcterms:W3CDTF">2015-06-05T18:19:34Z</dcterms:created>
  <dcterms:modified xsi:type="dcterms:W3CDTF">2026-06-15T16:06:29Z</dcterms:modified>
</cp:coreProperties>
</file>